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mparison" sheetId="2" state="visible" r:id="rId4"/>
    <sheet name="AI New Findings" sheetId="3" state="visible" r:id="rId5"/>
    <sheet name="Uncovered Sessions" sheetId="4" state="visible" r:id="rId6"/>
    <sheet name="Issues" sheetId="5" state="visible" r:id="rId7"/>
    <sheet name="Type Distribu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<sst xmlns="http://schemas.openxmlformats.org/spreadsheetml/2006/main" count="820" uniqueCount="432">
  <si>
    <r>
      <rPr>
        <b val="true"/>
        <sz val="13"/>
        <rFont val="Arial"/>
        <family val="0"/>
        <charset val="1"/>
      </rPr>
      <t xml:space="preserve">KOKJIP Signal Classifier v0.1 — AI </t>
    </r>
    <r>
      <rPr>
        <b val="true"/>
        <sz val="13"/>
        <rFont val="Noto Sans CJK SC"/>
        <family val="2"/>
      </rPr>
      <t xml:space="preserve">분류 실행 결과</t>
    </r>
  </si>
  <si>
    <r>
      <rPr>
        <i val="true"/>
        <sz val="10"/>
        <rFont val="Arial"/>
        <family val="0"/>
        <charset val="1"/>
      </rPr>
      <t xml:space="preserve">Evaluation Protocol 2</t>
    </r>
    <r>
      <rPr>
        <i val="true"/>
        <sz val="10"/>
        <rFont val="Noto Sans CJK SC"/>
        <family val="2"/>
      </rPr>
      <t xml:space="preserve">단계</t>
    </r>
    <r>
      <rPr>
        <i val="true"/>
        <sz val="10"/>
        <rFont val="Arial"/>
        <family val="0"/>
        <charset val="1"/>
      </rPr>
      <t xml:space="preserve">(AI </t>
    </r>
    <r>
      <rPr>
        <i val="true"/>
        <sz val="10"/>
        <rFont val="Noto Sans CJK SC"/>
        <family val="2"/>
      </rPr>
      <t xml:space="preserve">분류</t>
    </r>
    <r>
      <rPr>
        <i val="true"/>
        <sz val="10"/>
        <rFont val="Arial"/>
        <family val="0"/>
        <charset val="1"/>
      </rPr>
      <t xml:space="preserve">) </t>
    </r>
    <r>
      <rPr>
        <i val="true"/>
        <sz val="10"/>
        <rFont val="Noto Sans CJK SC"/>
        <family val="2"/>
      </rPr>
      <t xml:space="preserve">실행 </t>
    </r>
    <r>
      <rPr>
        <i val="true"/>
        <sz val="10"/>
        <rFont val="Arial"/>
        <family val="0"/>
        <charset val="1"/>
      </rPr>
      <t xml:space="preserve">· 3</t>
    </r>
    <r>
      <rPr>
        <i val="true"/>
        <sz val="10"/>
        <rFont val="Noto Sans CJK SC"/>
        <family val="2"/>
      </rPr>
      <t xml:space="preserve">단계</t>
    </r>
    <r>
      <rPr>
        <i val="true"/>
        <sz val="10"/>
        <rFont val="Arial"/>
        <family val="0"/>
        <charset val="1"/>
      </rPr>
      <t xml:space="preserve">(Binary </t>
    </r>
    <r>
      <rPr>
        <i val="true"/>
        <sz val="10"/>
        <rFont val="Noto Sans CJK SC"/>
        <family val="2"/>
      </rPr>
      <t xml:space="preserve">평가</t>
    </r>
    <r>
      <rPr>
        <i val="true"/>
        <sz val="10"/>
        <rFont val="Arial"/>
        <family val="0"/>
        <charset val="1"/>
      </rPr>
      <t xml:space="preserve">) </t>
    </r>
    <r>
      <rPr>
        <i val="true"/>
        <sz val="10"/>
        <rFont val="Noto Sans CJK SC"/>
        <family val="2"/>
      </rPr>
      <t xml:space="preserve">대조표 산출</t>
    </r>
  </si>
  <si>
    <t xml:space="preserve">■ 실행 개요</t>
  </si>
  <si>
    <t xml:space="preserve">실행 대상</t>
  </si>
  <si>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/ 27</t>
    </r>
    <r>
      <rPr>
        <sz val="10"/>
        <rFont val="Noto Sans CJK SC"/>
        <family val="2"/>
      </rPr>
      <t xml:space="preserve">일 수업 </t>
    </r>
    <r>
      <rPr>
        <sz val="10"/>
        <rFont val="Arial"/>
        <family val="0"/>
        <charset val="1"/>
      </rPr>
      <t xml:space="preserve">STT</t>
    </r>
  </si>
  <si>
    <r>
      <rPr>
        <sz val="10"/>
        <rFont val="Arial"/>
        <family val="0"/>
        <charset val="1"/>
      </rPr>
      <t xml:space="preserve">Classifier Prompt v0.1 </t>
    </r>
    <r>
      <rPr>
        <sz val="10"/>
        <rFont val="Noto Sans CJK SC"/>
        <family val="2"/>
      </rPr>
      <t xml:space="preserve">기준으로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Human Candidate</t>
    </r>
    <r>
      <rPr>
        <sz val="10"/>
        <rFont val="Noto Sans CJK SC"/>
        <family val="2"/>
      </rPr>
      <t xml:space="preserve">와 독립적으로 재판정</t>
    </r>
  </si>
  <si>
    <t xml:space="preserve">대조 기준</t>
  </si>
  <si>
    <r>
      <rPr>
        <sz val="10"/>
        <rFont val="Arial"/>
        <family val="0"/>
        <charset val="1"/>
      </rPr>
      <t xml:space="preserve">Signal Dataset v0.1 (68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</si>
  <si>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Candidate </t>
    </r>
    <r>
      <rPr>
        <sz val="10"/>
        <rFont val="Noto Sans CJK SC"/>
        <family val="2"/>
      </rPr>
      <t xml:space="preserve">단계 — 확정 </t>
    </r>
    <r>
      <rPr>
        <sz val="10"/>
        <rFont val="Arial"/>
        <family val="0"/>
        <charset val="1"/>
      </rPr>
      <t xml:space="preserve">Ground Truth </t>
    </r>
    <r>
      <rPr>
        <sz val="10"/>
        <rFont val="Noto Sans CJK SC"/>
        <family val="2"/>
      </rPr>
      <t xml:space="preserve">아님</t>
    </r>
  </si>
  <si>
    <t xml:space="preserve">판정 원칙</t>
  </si>
  <si>
    <t xml:space="preserve">키워드 매칭 금지</t>
  </si>
  <si>
    <r>
      <rPr>
        <sz val="10"/>
        <rFont val="Noto Sans CJK SC"/>
        <family val="2"/>
      </rPr>
      <t xml:space="preserve">발화의 기능과 앞뒤 문맥으로 판단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강사가 하지 않은 판단은 생성하지 않음</t>
    </r>
  </si>
  <si>
    <r>
      <rPr>
        <b val="true"/>
        <sz val="13"/>
        <rFont val="Arial"/>
        <family val="0"/>
        <charset val="1"/>
      </rPr>
      <t xml:space="preserve">■ Human Candidate 68</t>
    </r>
    <r>
      <rPr>
        <b val="true"/>
        <sz val="13"/>
        <rFont val="Noto Sans CJK SC"/>
        <family val="2"/>
      </rPr>
      <t xml:space="preserve">건 대조 </t>
    </r>
    <r>
      <rPr>
        <b val="true"/>
        <sz val="13"/>
        <rFont val="Arial"/>
        <family val="0"/>
        <charset val="1"/>
      </rPr>
      <t xml:space="preserve">(Protocol 3</t>
    </r>
    <r>
      <rPr>
        <b val="true"/>
        <sz val="13"/>
        <rFont val="Noto Sans CJK SC"/>
        <family val="2"/>
      </rPr>
      <t xml:space="preserve">단계</t>
    </r>
    <r>
      <rPr>
        <b val="true"/>
        <sz val="13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</si>
  <si>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일치 </t>
    </r>
    <r>
      <rPr>
        <b val="true"/>
        <sz val="10"/>
        <rFont val="Arial"/>
        <family val="0"/>
        <charset val="1"/>
      </rPr>
      <t xml:space="preserve">(MATCH)</t>
    </r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</si>
  <si>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도 동일하게 </t>
    </r>
    <r>
      <rPr>
        <sz val="10"/>
        <rFont val="Arial"/>
        <family val="0"/>
        <charset val="1"/>
      </rPr>
      <t xml:space="preserve">Signal</t>
    </r>
    <r>
      <rPr>
        <sz val="10"/>
        <rFont val="Noto Sans CJK SC"/>
        <family val="2"/>
      </rPr>
      <t xml:space="preserve">로 판정하고 유형도 일치</t>
    </r>
  </si>
  <si>
    <r>
      <rPr>
        <b val="true"/>
        <sz val="10"/>
        <rFont val="Noto Sans CJK SC"/>
        <family val="2"/>
      </rPr>
      <t xml:space="preserve">유형 이견 </t>
    </r>
    <r>
      <rPr>
        <b val="true"/>
        <sz val="10"/>
        <rFont val="Arial"/>
        <family val="0"/>
        <charset val="1"/>
      </rPr>
      <t xml:space="preserve">(TYPE_DIFF)</t>
    </r>
  </si>
  <si>
    <r>
      <rPr>
        <sz val="10"/>
        <rFont val="Arial"/>
        <family val="0"/>
        <charset val="1"/>
      </rPr>
      <t xml:space="preserve">Signal </t>
    </r>
    <r>
      <rPr>
        <sz val="10"/>
        <rFont val="Noto Sans CJK SC"/>
        <family val="2"/>
      </rPr>
      <t xml:space="preserve">여부는 일치하나 대표 유형 판단이 다름</t>
    </r>
  </si>
  <si>
    <r>
      <rPr>
        <b val="true"/>
        <sz val="10"/>
        <rFont val="Noto Sans CJK SC"/>
        <family val="2"/>
      </rPr>
      <t xml:space="preserve">오탐 의심 </t>
    </r>
    <r>
      <rPr>
        <b val="true"/>
        <sz val="10"/>
        <rFont val="Arial"/>
        <family val="0"/>
        <charset val="1"/>
      </rPr>
      <t xml:space="preserve">(FP_SUSPECT)</t>
    </r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</si>
  <si>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NO_SIGNAL</t>
    </r>
    <r>
      <rPr>
        <sz val="10"/>
        <rFont val="Noto Sans CJK SC"/>
        <family val="2"/>
      </rPr>
      <t xml:space="preserve">로 판정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재검토 대상</t>
    </r>
  </si>
  <si>
    <r>
      <rPr>
        <b val="true"/>
        <sz val="10"/>
        <rFont val="Arial"/>
        <family val="0"/>
        <charset val="1"/>
      </rPr>
      <t xml:space="preserve">Signal </t>
    </r>
    <r>
      <rPr>
        <b val="true"/>
        <sz val="10"/>
        <rFont val="Noto Sans CJK SC"/>
        <family val="2"/>
      </rPr>
      <t xml:space="preserve">여부 일치율</t>
    </r>
  </si>
  <si>
    <r>
      <rPr>
        <sz val="10"/>
        <rFont val="Arial"/>
        <family val="0"/>
        <charset val="1"/>
      </rPr>
      <t xml:space="preserve">%. </t>
    </r>
    <r>
      <rPr>
        <sz val="10"/>
        <rFont val="Noto Sans CJK SC"/>
        <family val="2"/>
      </rPr>
      <t xml:space="preserve">유형 이견은 </t>
    </r>
    <r>
      <rPr>
        <sz val="10"/>
        <rFont val="Arial"/>
        <family val="0"/>
        <charset val="1"/>
      </rPr>
      <t xml:space="preserve">Signal </t>
    </r>
    <r>
      <rPr>
        <sz val="10"/>
        <rFont val="Noto Sans CJK SC"/>
        <family val="2"/>
      </rPr>
      <t xml:space="preserve">여부로는 일치로 계산</t>
    </r>
  </si>
  <si>
    <t xml:space="preserve">유형 완전 일치율</t>
  </si>
  <si>
    <t xml:space="preserve">%</t>
  </si>
  <si>
    <r>
      <rPr>
        <b val="true"/>
        <sz val="13"/>
        <rFont val="Arial"/>
        <family val="0"/>
        <charset val="1"/>
      </rPr>
      <t xml:space="preserve">■ AI </t>
    </r>
    <r>
      <rPr>
        <b val="true"/>
        <sz val="13"/>
        <rFont val="Noto Sans CJK SC"/>
        <family val="2"/>
      </rPr>
      <t xml:space="preserve">신규 발견 </t>
    </r>
    <r>
      <rPr>
        <b val="true"/>
        <sz val="13"/>
        <rFont val="Arial"/>
        <family val="0"/>
        <charset val="1"/>
      </rPr>
      <t xml:space="preserve">(Protocol 5</t>
    </r>
    <r>
      <rPr>
        <b val="true"/>
        <sz val="13"/>
        <rFont val="Noto Sans CJK SC"/>
        <family val="2"/>
      </rPr>
      <t xml:space="preserve">단계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Noto Sans CJK SC"/>
        <family val="2"/>
      </rPr>
      <t xml:space="preserve">미탐 분석</t>
    </r>
    <r>
      <rPr>
        <b val="true"/>
        <sz val="13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</si>
  <si>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Human </t>
    </r>
    <r>
      <rPr>
        <b val="true"/>
        <sz val="10"/>
        <rFont val="Noto Sans CJK SC"/>
        <family val="2"/>
      </rPr>
      <t xml:space="preserve">검토 구간 내</t>
    </r>
  </si>
  <si>
    <r>
      <rPr>
        <sz val="10"/>
        <rFont val="Noto Sans CJK SC"/>
        <family val="2"/>
      </rPr>
      <t xml:space="preserve">사람이 태깅한 시간대에서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가 추가로 찾은 </t>
    </r>
    <r>
      <rPr>
        <sz val="10"/>
        <rFont val="Arial"/>
        <family val="0"/>
        <charset val="1"/>
      </rPr>
      <t xml:space="preserve">Signal</t>
    </r>
  </si>
  <si>
    <r>
      <rPr>
        <b val="true"/>
        <sz val="10"/>
        <rFont val="Arial"/>
        <family val="0"/>
        <charset val="1"/>
      </rPr>
      <t xml:space="preserve">Human </t>
    </r>
    <r>
      <rPr>
        <b val="true"/>
        <sz val="10"/>
        <rFont val="Noto Sans CJK SC"/>
        <family val="2"/>
      </rPr>
      <t xml:space="preserve">미검토 구간</t>
    </r>
  </si>
  <si>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2·3</t>
    </r>
    <r>
      <rPr>
        <sz val="10"/>
        <rFont val="Noto Sans CJK SC"/>
        <family val="2"/>
      </rPr>
      <t xml:space="preserve">교시 — </t>
    </r>
    <r>
      <rPr>
        <sz val="10"/>
        <rFont val="Arial"/>
        <family val="0"/>
        <charset val="1"/>
      </rPr>
      <t xml:space="preserve">Dataset v0.1</t>
    </r>
    <r>
      <rPr>
        <sz val="10"/>
        <rFont val="Noto Sans CJK SC"/>
        <family val="2"/>
      </rPr>
      <t xml:space="preserve">이 다루지 않은 세션</t>
    </r>
  </si>
  <si>
    <t xml:space="preserve">신규 발견 합계</t>
  </si>
  <si>
    <r>
      <rPr>
        <b val="true"/>
        <sz val="13"/>
        <rFont val="Noto Sans CJK SC"/>
        <family val="2"/>
      </rPr>
      <t xml:space="preserve">■ 신호 밀도 재계산 </t>
    </r>
    <r>
      <rPr>
        <b val="true"/>
        <sz val="13"/>
        <rFont val="Arial"/>
        <family val="0"/>
        <charset val="1"/>
      </rPr>
      <t xml:space="preserve">(VPS v2.0 </t>
    </r>
    <r>
      <rPr>
        <b val="true"/>
        <sz val="13"/>
        <rFont val="Noto Sans CJK SC"/>
        <family val="2"/>
      </rPr>
      <t xml:space="preserve">실험 </t>
    </r>
    <r>
      <rPr>
        <b val="true"/>
        <sz val="13"/>
        <rFont val="Arial"/>
        <family val="0"/>
        <charset val="1"/>
      </rPr>
      <t xml:space="preserve">1)</t>
    </r>
  </si>
  <si>
    <t xml:space="preserve">분모 정의</t>
  </si>
  <si>
    <t xml:space="preserve">시간당 신호 수</t>
  </si>
  <si>
    <t xml:space="preserve">비고</t>
  </si>
  <si>
    <r>
      <rPr>
        <sz val="10"/>
        <rFont val="Noto Sans CJK SC"/>
        <family val="2"/>
      </rPr>
      <t xml:space="preserve">① 사용자 제시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시간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분</t>
    </r>
  </si>
  <si>
    <r>
      <rPr>
        <sz val="10"/>
        <rFont val="Arial"/>
        <family val="0"/>
        <charset val="1"/>
      </rPr>
      <t xml:space="preserve">Human Candidate 68</t>
    </r>
    <r>
      <rPr>
        <sz val="10"/>
        <rFont val="Noto Sans CJK SC"/>
        <family val="2"/>
      </rPr>
      <t xml:space="preserve">건 기준</t>
    </r>
  </si>
  <si>
    <r>
      <rPr>
        <sz val="10"/>
        <rFont val="Noto Sans CJK SC"/>
        <family val="2"/>
      </rPr>
      <t xml:space="preserve">② 태깅 구간만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시간 </t>
    </r>
    <r>
      <rPr>
        <sz val="10"/>
        <rFont val="Arial"/>
        <family val="0"/>
        <charset val="1"/>
      </rPr>
      <t xml:space="preserve">16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</si>
  <si>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교시 </t>
    </r>
    <r>
      <rPr>
        <sz val="10"/>
        <rFont val="Arial"/>
        <family val="0"/>
        <charset val="1"/>
      </rPr>
      <t xml:space="preserve">+ 27</t>
    </r>
    <r>
      <rPr>
        <sz val="10"/>
        <rFont val="Noto Sans CJK SC"/>
        <family val="2"/>
      </rPr>
      <t xml:space="preserve">일 실제 태깅 범위</t>
    </r>
  </si>
  <si>
    <r>
      <rPr>
        <sz val="10"/>
        <rFont val="Noto Sans CJK SC"/>
        <family val="2"/>
      </rPr>
      <t xml:space="preserve">③ 업로드 </t>
    </r>
    <r>
      <rPr>
        <sz val="10"/>
        <rFont val="Arial"/>
        <family val="0"/>
        <charset val="1"/>
      </rPr>
      <t xml:space="preserve">STT </t>
    </r>
    <r>
      <rPr>
        <sz val="10"/>
        <rFont val="Noto Sans CJK SC"/>
        <family val="2"/>
      </rPr>
      <t xml:space="preserve">전체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시간 </t>
    </r>
    <r>
      <rPr>
        <sz val="10"/>
        <rFont val="Arial"/>
        <family val="0"/>
        <charset val="1"/>
      </rPr>
      <t xml:space="preserve">07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</si>
  <si>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세션 </t>
    </r>
    <r>
      <rPr>
        <sz val="10"/>
        <rFont val="Arial"/>
        <family val="0"/>
        <charset val="1"/>
      </rPr>
      <t xml:space="preserve">+ 27</t>
    </r>
    <r>
      <rPr>
        <sz val="10"/>
        <rFont val="Noto Sans CJK SC"/>
        <family val="2"/>
      </rPr>
      <t xml:space="preserve">일 전체</t>
    </r>
  </si>
  <si>
    <r>
      <rPr>
        <sz val="10"/>
        <rFont val="Arial"/>
        <family val="0"/>
        <charset val="1"/>
      </rPr>
      <t xml:space="preserve">④ ③ + AI </t>
    </r>
    <r>
      <rPr>
        <sz val="10"/>
        <rFont val="Noto Sans CJK SC"/>
        <family val="2"/>
      </rPr>
      <t xml:space="preserve">신규 발견 포함</t>
    </r>
  </si>
  <si>
    <r>
      <rPr>
        <sz val="10"/>
        <rFont val="Noto Sans CJK SC"/>
        <family val="2"/>
      </rPr>
      <t xml:space="preserve">오탐 의심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건은 제외하지 않은 값</t>
    </r>
  </si>
  <si>
    <t xml:space="preserve">■ 게이트 판정</t>
  </si>
  <si>
    <r>
      <rPr>
        <b val="true"/>
        <sz val="10"/>
        <rFont val="Arial"/>
        <family val="0"/>
        <charset val="1"/>
      </rPr>
      <t xml:space="preserve">VPS v2.0 </t>
    </r>
    <r>
      <rPr>
        <b val="true"/>
        <sz val="10"/>
        <rFont val="Noto Sans CJK SC"/>
        <family val="2"/>
      </rPr>
      <t xml:space="preserve">통과 기준</t>
    </r>
  </si>
  <si>
    <r>
      <rPr>
        <sz val="10"/>
        <rFont val="Noto Sans CJK SC"/>
        <family val="2"/>
      </rPr>
      <t xml:space="preserve">시간당 평균 ≥ </t>
    </r>
    <r>
      <rPr>
        <sz val="10"/>
        <rFont val="Arial"/>
        <family val="0"/>
        <charset val="1"/>
      </rPr>
      <t xml:space="preserve">2.0</t>
    </r>
    <r>
      <rPr>
        <sz val="10"/>
        <rFont val="Noto Sans CJK SC"/>
        <family val="2"/>
      </rPr>
      <t xml:space="preserve">회</t>
    </r>
  </si>
  <si>
    <r>
      <rPr>
        <sz val="10"/>
        <rFont val="Arial"/>
        <family val="0"/>
        <charset val="1"/>
      </rPr>
      <t xml:space="preserve">≤ 0.2</t>
    </r>
    <r>
      <rPr>
        <sz val="10"/>
        <rFont val="Noto Sans CJK SC"/>
        <family val="2"/>
      </rPr>
      <t xml:space="preserve">회면 </t>
    </r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가치 기각</t>
    </r>
    <r>
      <rPr>
        <sz val="10"/>
        <rFont val="Arial"/>
        <family val="0"/>
        <charset val="1"/>
      </rPr>
      <t xml:space="preserve">, 0.5~1.9</t>
    </r>
    <r>
      <rPr>
        <sz val="10"/>
        <rFont val="Noto Sans CJK SC"/>
        <family val="2"/>
      </rPr>
      <t xml:space="preserve">회면 신호 정의 조정</t>
    </r>
  </si>
  <si>
    <t xml:space="preserve">판정</t>
  </si>
  <si>
    <r>
      <rPr>
        <sz val="10"/>
        <rFont val="Noto Sans CJK SC"/>
        <family val="2"/>
      </rPr>
      <t xml:space="preserve">통과 </t>
    </r>
    <r>
      <rPr>
        <sz val="10"/>
        <rFont val="Arial"/>
        <family val="0"/>
        <charset val="1"/>
      </rPr>
      <t xml:space="preserve">(Pass)</t>
    </r>
  </si>
  <si>
    <t xml:space="preserve">네 가지 분모 정의 모두에서 기준을 큰 폭으로 상회</t>
  </si>
  <si>
    <t xml:space="preserve">최저값 기준 여유</t>
  </si>
  <si>
    <t xml:space="preserve">가장 보수적인 분모에서도 기준의 몇 배인지</t>
  </si>
  <si>
    <t xml:space="preserve">역산 — 최소 필요 신호 수</t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</si>
  <si>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시간 </t>
    </r>
    <r>
      <rPr>
        <sz val="10"/>
        <rFont val="Arial"/>
        <family val="0"/>
        <charset val="1"/>
      </rPr>
      <t xml:space="preserve">07</t>
    </r>
    <r>
      <rPr>
        <sz val="10"/>
        <rFont val="Noto Sans CJK SC"/>
        <family val="2"/>
      </rPr>
      <t xml:space="preserve">분 기준</t>
    </r>
    <r>
      <rPr>
        <sz val="10"/>
        <rFont val="Arial"/>
        <family val="0"/>
        <charset val="1"/>
      </rPr>
      <t xml:space="preserve">. 68</t>
    </r>
    <r>
      <rPr>
        <sz val="10"/>
        <rFont val="Noto Sans CJK SC"/>
        <family val="2"/>
      </rPr>
      <t xml:space="preserve">건 중 이 개수만 참이어도 게이트 통과</t>
    </r>
  </si>
  <si>
    <t xml:space="preserve">■ 이 결과가 말하지 않는 것</t>
  </si>
  <si>
    <t xml:space="preserve">·</t>
  </si>
  <si>
    <r>
      <rPr>
        <sz val="10"/>
        <rFont val="Noto Sans CJK SC"/>
        <family val="2"/>
      </rPr>
      <t xml:space="preserve">강사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동일 과정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일치 표본이다</t>
    </r>
    <r>
      <rPr>
        <sz val="10"/>
        <rFont val="Arial"/>
        <family val="0"/>
        <charset val="1"/>
      </rPr>
      <t xml:space="preserve">. KDT </t>
    </r>
    <r>
      <rPr>
        <sz val="10"/>
        <rFont val="Noto Sans CJK SC"/>
        <family val="2"/>
      </rPr>
      <t xml:space="preserve">전반의 신호 밀도가 아니라 이 강사의 신호 밀도다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</si>
  <si>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이 강사는 명시적 지시 발화가 많은 편이다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상위 사례일 가능성을 배제할 수 없다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</si>
  <si>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Human Candidate</t>
    </r>
    <r>
      <rPr>
        <sz val="10"/>
        <rFont val="Noto Sans CJK SC"/>
        <family val="2"/>
      </rPr>
      <t xml:space="preserve">가 확정 </t>
    </r>
    <r>
      <rPr>
        <sz val="10"/>
        <rFont val="Arial"/>
        <family val="0"/>
        <charset val="1"/>
      </rPr>
      <t xml:space="preserve">Ground Truth</t>
    </r>
    <r>
      <rPr>
        <sz val="10"/>
        <rFont val="Noto Sans CJK SC"/>
        <family val="2"/>
      </rPr>
      <t xml:space="preserve">가 아니므로 </t>
    </r>
    <r>
      <rPr>
        <sz val="10"/>
        <rFont val="Arial"/>
        <family val="0"/>
        <charset val="1"/>
      </rPr>
      <t xml:space="preserve">Precision/Recall</t>
    </r>
    <r>
      <rPr>
        <sz val="10"/>
        <rFont val="Noto Sans CJK SC"/>
        <family val="2"/>
      </rPr>
      <t xml:space="preserve">을 성능 지표로 확정하지 않는다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</si>
  <si>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신호가 존재한다는 것과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가 자동으로 안정적으로 추출한다는 것은 별개다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후자는 독립 평가셋이 필요하다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</si>
  <si>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업로드 </t>
    </r>
    <r>
      <rPr>
        <sz val="10"/>
        <rFont val="Arial"/>
        <family val="0"/>
        <charset val="1"/>
      </rPr>
      <t xml:space="preserve">STT </t>
    </r>
    <r>
      <rPr>
        <sz val="10"/>
        <rFont val="Noto Sans CJK SC"/>
        <family val="2"/>
      </rPr>
      <t xml:space="preserve">총 길이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시간 </t>
    </r>
    <r>
      <rPr>
        <sz val="10"/>
        <rFont val="Arial"/>
        <family val="0"/>
        <charset val="1"/>
      </rPr>
      <t xml:space="preserve">07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와 제시된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시간 </t>
    </r>
    <r>
      <rPr>
        <sz val="10"/>
        <rFont val="Arial"/>
        <family val="0"/>
        <charset val="1"/>
      </rPr>
      <t xml:space="preserve">43</t>
    </r>
    <r>
      <rPr>
        <sz val="10"/>
        <rFont val="Noto Sans CJK SC"/>
        <family val="2"/>
      </rPr>
      <t xml:space="preserve">분이 일치하지 않는다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분모 확정 필요</t>
    </r>
    <r>
      <rPr>
        <sz val="10"/>
        <rFont val="Arial"/>
        <family val="0"/>
        <charset val="1"/>
      </rPr>
      <t xml:space="preserve">.</t>
    </r>
  </si>
  <si>
    <t xml:space="preserve">ID</t>
  </si>
  <si>
    <t xml:space="preserve">날짜</t>
  </si>
  <si>
    <t xml:space="preserve">타임스탬프</t>
  </si>
  <si>
    <t xml:space="preserve">Human Type</t>
  </si>
  <si>
    <t xml:space="preserve">AI Type</t>
  </si>
  <si>
    <r>
      <rPr>
        <b val="true"/>
        <sz val="10"/>
        <color rgb="FFFFFFFF"/>
        <rFont val="Arial"/>
        <family val="0"/>
        <charset val="1"/>
      </rPr>
      <t xml:space="preserve">AI </t>
    </r>
    <r>
      <rPr>
        <b val="true"/>
        <sz val="10"/>
        <color rgb="FFFFFFFF"/>
        <rFont val="Noto Sans CJK SC"/>
        <family val="2"/>
      </rPr>
      <t xml:space="preserve">판단 근거</t>
    </r>
  </si>
  <si>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일</t>
    </r>
  </si>
  <si>
    <t xml:space="preserve">10:46</t>
  </si>
  <si>
    <t xml:space="preserve">EMPHASIS</t>
  </si>
  <si>
    <t xml:space="preserve">MUST</t>
  </si>
  <si>
    <t xml:space="preserve">MATCH</t>
  </si>
  <si>
    <r>
      <rPr>
        <sz val="10"/>
        <rFont val="Noto Sans CJK SC"/>
        <family val="2"/>
      </rPr>
      <t xml:space="preserve">기능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비기능 요구사항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테스트 방식 명시 요구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강한 강조 동반</t>
    </r>
  </si>
  <si>
    <t xml:space="preserve">11:02</t>
  </si>
  <si>
    <t xml:space="preserve">CORE</t>
  </si>
  <si>
    <t xml:space="preserve">RATIONALE</t>
  </si>
  <si>
    <t xml:space="preserve">TYPE_DIFF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</si>
  <si>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 챕터가 </t>
    </r>
    <r>
      <rPr>
        <sz val="10"/>
        <rFont val="Arial"/>
        <family val="0"/>
        <charset val="1"/>
      </rPr>
      <t xml:space="preserve">SRS</t>
    </r>
    <r>
      <rPr>
        <sz val="10"/>
        <rFont val="Noto Sans CJK SC"/>
        <family val="2"/>
      </rPr>
      <t xml:space="preserve">에 있어야 테스트 코드를 짜요</t>
    </r>
    <r>
      <rPr>
        <sz val="10"/>
        <rFont val="Arial"/>
        <family val="0"/>
        <charset val="1"/>
      </rPr>
      <t xml:space="preserve">' — </t>
    </r>
    <r>
      <rPr>
        <sz val="10"/>
        <rFont val="Noto Sans CJK SC"/>
        <family val="2"/>
      </rPr>
      <t xml:space="preserve">조건→결과 인과 구조가 본체</t>
    </r>
  </si>
  <si>
    <t xml:space="preserve">11:11</t>
  </si>
  <si>
    <r>
      <rPr>
        <sz val="10"/>
        <rFont val="Noto Sans CJK SC"/>
        <family val="2"/>
      </rPr>
      <t xml:space="preserve">다이어그램 가독성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엄밀성</t>
    </r>
  </si>
  <si>
    <t xml:space="preserve">12:23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</si>
  <si>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반드시 같이 프롬프팅 해야 된다</t>
    </r>
    <r>
      <rPr>
        <sz val="10"/>
        <rFont val="Arial"/>
        <family val="0"/>
        <charset val="1"/>
      </rPr>
      <t xml:space="preserve">'</t>
    </r>
  </si>
  <si>
    <t xml:space="preserve">12:47</t>
  </si>
  <si>
    <t xml:space="preserve">AVOID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</si>
  <si>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구현 가능한 어미로 다듬어져야 한다</t>
    </r>
    <r>
      <rPr>
        <sz val="10"/>
        <rFont val="Arial"/>
        <family val="0"/>
        <charset val="1"/>
      </rPr>
      <t xml:space="preserve">' — </t>
    </r>
    <r>
      <rPr>
        <sz val="10"/>
        <rFont val="Noto Sans CJK SC"/>
        <family val="2"/>
      </rPr>
      <t xml:space="preserve">금지가 아니라 요구사항 지정</t>
    </r>
  </si>
  <si>
    <t xml:space="preserve">13:17</t>
  </si>
  <si>
    <r>
      <rPr>
        <sz val="10"/>
        <rFont val="Arial"/>
        <family val="0"/>
        <charset val="1"/>
      </rPr>
      <t xml:space="preserve">MVP </t>
    </r>
    <r>
      <rPr>
        <sz val="10"/>
        <rFont val="Noto Sans CJK SC"/>
        <family val="2"/>
      </rPr>
      <t xml:space="preserve">범위에서 구현 역량 판단</t>
    </r>
  </si>
  <si>
    <t xml:space="preserve">14:35</t>
  </si>
  <si>
    <r>
      <rPr>
        <sz val="10"/>
        <rFont val="Arial"/>
        <family val="0"/>
        <charset val="1"/>
      </rPr>
      <t xml:space="preserve">SRS </t>
    </r>
    <r>
      <rPr>
        <sz val="10"/>
        <rFont val="Noto Sans CJK SC"/>
        <family val="2"/>
      </rPr>
      <t xml:space="preserve">최종본 확정 조건</t>
    </r>
  </si>
  <si>
    <t xml:space="preserve">16:44</t>
  </si>
  <si>
    <t xml:space="preserve">INSIGHT</t>
  </si>
  <si>
    <t xml:space="preserve">교안에 없는 에센스가 구두 설명에 있음</t>
  </si>
  <si>
    <t xml:space="preserve">17:04</t>
  </si>
  <si>
    <t xml:space="preserve">REVIEW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</si>
  <si>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학습 기록을 한다라는 게 굉장히 중요한 단계</t>
    </r>
    <r>
      <rPr>
        <sz val="10"/>
        <rFont val="Arial"/>
        <family val="0"/>
        <charset val="1"/>
      </rPr>
      <t xml:space="preserve">' — </t>
    </r>
    <r>
      <rPr>
        <sz val="10"/>
        <rFont val="Noto Sans CJK SC"/>
        <family val="2"/>
      </rPr>
      <t xml:space="preserve">복습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기록 지정이 본체</t>
    </r>
  </si>
  <si>
    <t xml:space="preserve">17:43</t>
  </si>
  <si>
    <t xml:space="preserve">주도적 리뷰 의지</t>
  </si>
  <si>
    <t xml:space="preserve">19:35</t>
  </si>
  <si>
    <t xml:space="preserve">PRACTICAL</t>
  </si>
  <si>
    <t xml:space="preserve">NO_SIGNAL</t>
  </si>
  <si>
    <t xml:space="preserve">FP_SUSPECT</t>
  </si>
  <si>
    <r>
      <rPr>
        <sz val="10"/>
        <rFont val="Noto Sans CJK SC"/>
        <family val="2"/>
      </rPr>
      <t xml:space="preserve">수업에서 무엇을 봤는지 진행 서술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복습 우선순위 판단에 직접 기여 약함</t>
    </r>
  </si>
  <si>
    <t xml:space="preserve">21:45</t>
  </si>
  <si>
    <r>
      <rPr>
        <sz val="10"/>
        <rFont val="Noto Sans CJK SC"/>
        <family val="2"/>
      </rPr>
      <t xml:space="preserve">스크럼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회의법 아닌 프로젝트 종류라는 인식 전환</t>
    </r>
  </si>
  <si>
    <t xml:space="preserve">23:01</t>
  </si>
  <si>
    <r>
      <rPr>
        <sz val="10"/>
        <rFont val="Noto Sans CJK SC"/>
        <family val="2"/>
      </rPr>
      <t xml:space="preserve">권위 있는 출처</t>
    </r>
    <r>
      <rPr>
        <sz val="10"/>
        <rFont val="Arial"/>
        <family val="0"/>
        <charset val="1"/>
      </rPr>
      <t xml:space="preserve">(AWS) </t>
    </r>
    <r>
      <rPr>
        <sz val="10"/>
        <rFont val="Noto Sans CJK SC"/>
        <family val="2"/>
      </rPr>
      <t xml:space="preserve">확인 지시 — 추가 확인 대상 지정</t>
    </r>
  </si>
  <si>
    <t xml:space="preserve">27:14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</si>
  <si>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겪는 게 어제 내용의 본질</t>
    </r>
    <r>
      <rPr>
        <sz val="10"/>
        <rFont val="Arial"/>
        <family val="0"/>
        <charset val="1"/>
      </rPr>
      <t xml:space="preserve">'</t>
    </r>
  </si>
  <si>
    <t xml:space="preserve">27:59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</si>
  <si>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깔끔하게 떨어지지 않았다라고 의심하고 시작해야 돼요</t>
    </r>
    <r>
      <rPr>
        <sz val="10"/>
        <rFont val="Arial"/>
        <family val="0"/>
        <charset val="1"/>
      </rPr>
      <t xml:space="preserve">'</t>
    </r>
  </si>
  <si>
    <t xml:space="preserve">29:37</t>
  </si>
  <si>
    <r>
      <rPr>
        <sz val="10"/>
        <rFont val="Noto Sans CJK SC"/>
        <family val="2"/>
      </rPr>
      <t xml:space="preserve">질문 독려 — 수업 운영 멘트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학습 콘텐츠 우선순위와 무관</t>
    </r>
  </si>
  <si>
    <t xml:space="preserve">32:03</t>
  </si>
  <si>
    <r>
      <rPr>
        <sz val="10"/>
        <rFont val="Noto Sans CJK SC"/>
        <family val="2"/>
      </rPr>
      <t xml:space="preserve">데이터 흐름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검증 기준 없이 뽑는 실패 패턴</t>
    </r>
  </si>
  <si>
    <t xml:space="preserve">34:43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</si>
  <si>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활용 개발 조건이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년 이상 따라다님</t>
    </r>
  </si>
  <si>
    <t xml:space="preserve">35:31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</si>
  <si>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시각적인 거 </t>
    </r>
    <r>
      <rPr>
        <sz val="10"/>
        <rFont val="Arial"/>
        <family val="0"/>
        <charset val="1"/>
      </rPr>
      <t xml:space="preserve">UIUX</t>
    </r>
    <r>
      <rPr>
        <sz val="10"/>
        <rFont val="Noto Sans CJK SC"/>
        <family val="2"/>
      </rPr>
      <t xml:space="preserve">부터 먼저 봐야지 되는 거예요</t>
    </r>
    <r>
      <rPr>
        <sz val="10"/>
        <rFont val="Arial"/>
        <family val="0"/>
        <charset val="1"/>
      </rPr>
      <t xml:space="preserve">' — </t>
    </r>
    <r>
      <rPr>
        <sz val="10"/>
        <rFont val="Noto Sans CJK SC"/>
        <family val="2"/>
      </rPr>
      <t xml:space="preserve">순서 지정</t>
    </r>
  </si>
  <si>
    <t xml:space="preserve">38:43</t>
  </si>
  <si>
    <r>
      <rPr>
        <sz val="10"/>
        <rFont val="Noto Sans CJK SC"/>
        <family val="2"/>
      </rPr>
      <t xml:space="preserve">병렬 일괄 작성 금지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순차 작성</t>
    </r>
  </si>
  <si>
    <t xml:space="preserve">43:16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</si>
  <si>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감성 시프팅을 꼭 하세요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반드시 하세요</t>
    </r>
    <r>
      <rPr>
        <sz val="10"/>
        <rFont val="Arial"/>
        <family val="0"/>
        <charset val="1"/>
      </rPr>
      <t xml:space="preserve">'</t>
    </r>
  </si>
  <si>
    <t xml:space="preserve">45:25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</si>
  <si>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모킹으로 시작 — 현장 관행</t>
    </r>
  </si>
  <si>
    <t xml:space="preserve">49:25</t>
  </si>
  <si>
    <r>
      <rPr>
        <sz val="10"/>
        <rFont val="Noto Sans CJK SC"/>
        <family val="2"/>
      </rPr>
      <t xml:space="preserve">인간 분업 →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에이전트 분업 치환</t>
    </r>
  </si>
  <si>
    <t xml:space="preserve">51:50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</si>
  <si>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작업시간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인간 검수일 구성</t>
    </r>
  </si>
  <si>
    <t xml:space="preserve">56:26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</si>
  <si>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제가 보기엔 좀 의심스러워요</t>
    </r>
    <r>
      <rPr>
        <sz val="10"/>
        <rFont val="Arial"/>
        <family val="0"/>
        <charset val="1"/>
      </rPr>
      <t xml:space="preserve">' — </t>
    </r>
    <r>
      <rPr>
        <sz val="10"/>
        <rFont val="Noto Sans CJK SC"/>
        <family val="2"/>
      </rPr>
      <t xml:space="preserve">산출물 의심</t>
    </r>
  </si>
  <si>
    <t xml:space="preserve">57:17</t>
  </si>
  <si>
    <r>
      <rPr>
        <sz val="10"/>
        <rFont val="Noto Sans CJK SC"/>
        <family val="2"/>
      </rPr>
      <t xml:space="preserve">의심 능력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현업 인사이트</t>
    </r>
  </si>
  <si>
    <t xml:space="preserve">58:18</t>
  </si>
  <si>
    <t xml:space="preserve">동시작업 편성 압축 일정 별도 문서화</t>
  </si>
  <si>
    <t xml:space="preserve">1:02:34</t>
  </si>
  <si>
    <r>
      <rPr>
        <sz val="10"/>
        <rFont val="Arial"/>
        <family val="0"/>
        <charset val="1"/>
      </rPr>
      <t xml:space="preserve">'PM</t>
    </r>
    <r>
      <rPr>
        <sz val="10"/>
        <rFont val="Noto Sans CJK SC"/>
        <family val="2"/>
      </rPr>
      <t xml:space="preserve">이 꺼낼 수 있는 가장 잔인한 질문</t>
    </r>
    <r>
      <rPr>
        <sz val="10"/>
        <rFont val="Arial"/>
        <family val="0"/>
        <charset val="1"/>
      </rPr>
      <t xml:space="preserve">' — </t>
    </r>
    <r>
      <rPr>
        <sz val="10"/>
        <rFont val="Noto Sans CJK SC"/>
        <family val="2"/>
      </rPr>
      <t xml:space="preserve">강사 고유 판단</t>
    </r>
  </si>
  <si>
    <t xml:space="preserve">1:03:57</t>
  </si>
  <si>
    <t xml:space="preserve">체계적 일정이 있어야 요구 근거가 생김</t>
  </si>
  <si>
    <t xml:space="preserve">1:09:30</t>
  </si>
  <si>
    <t xml:space="preserve">풀네임 항상 명시</t>
  </si>
  <si>
    <t xml:space="preserve">1:23:14</t>
  </si>
  <si>
    <r>
      <rPr>
        <sz val="10"/>
        <rFont val="Arial"/>
        <family val="0"/>
        <charset val="1"/>
      </rPr>
      <t xml:space="preserve">CLI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MCP </t>
    </r>
    <r>
      <rPr>
        <sz val="10"/>
        <rFont val="Noto Sans CJK SC"/>
        <family val="2"/>
      </rPr>
      <t xml:space="preserve">대비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배 저렴</t>
    </r>
  </si>
  <si>
    <t xml:space="preserve">1:30:29</t>
  </si>
  <si>
    <t xml:space="preserve">결과물 순차 통합 역량</t>
  </si>
  <si>
    <t xml:space="preserve">1:33:24</t>
  </si>
  <si>
    <r>
      <rPr>
        <sz val="10"/>
        <rFont val="Noto Sans CJK SC"/>
        <family val="2"/>
      </rPr>
      <t xml:space="preserve">워크플로우를 언제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왜 하는지가 인간 역량</t>
    </r>
  </si>
  <si>
    <t xml:space="preserve">1:34:43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</si>
  <si>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반드시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가 알아서 치게 하세요</t>
    </r>
    <r>
      <rPr>
        <sz val="10"/>
        <rFont val="Arial"/>
        <family val="0"/>
        <charset val="1"/>
      </rPr>
      <t xml:space="preserve">'</t>
    </r>
  </si>
  <si>
    <t xml:space="preserve">1:34:55</t>
  </si>
  <si>
    <t xml:space="preserve">명령어 암기 발상 자체가 잘못</t>
  </si>
  <si>
    <r>
      <rPr>
        <sz val="10"/>
        <rFont val="Arial"/>
        <family val="0"/>
        <charset val="1"/>
      </rPr>
      <t xml:space="preserve">27</t>
    </r>
    <r>
      <rPr>
        <sz val="10"/>
        <rFont val="Noto Sans CJK SC"/>
        <family val="2"/>
      </rPr>
      <t xml:space="preserve">일</t>
    </r>
  </si>
  <si>
    <t xml:space="preserve">09:45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</si>
  <si>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모든 서비스가 다 </t>
    </r>
    <r>
      <rPr>
        <sz val="10"/>
        <rFont val="Arial"/>
        <family val="0"/>
        <charset val="1"/>
      </rPr>
      <t xml:space="preserve">A/B </t>
    </r>
    <r>
      <rPr>
        <sz val="10"/>
        <rFont val="Noto Sans CJK SC"/>
        <family val="2"/>
      </rPr>
      <t xml:space="preserve">테스트로 되는 건 없다</t>
    </r>
    <r>
      <rPr>
        <sz val="10"/>
        <rFont val="Arial"/>
        <family val="0"/>
        <charset val="1"/>
      </rPr>
      <t xml:space="preserve">' — </t>
    </r>
    <r>
      <rPr>
        <sz val="10"/>
        <rFont val="Noto Sans CJK SC"/>
        <family val="2"/>
      </rPr>
      <t xml:space="preserve">사실 서술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행동 지침 아님</t>
    </r>
  </si>
  <si>
    <t xml:space="preserve">10:13</t>
  </si>
  <si>
    <r>
      <rPr>
        <sz val="10"/>
        <rFont val="Arial"/>
        <family val="0"/>
        <charset val="1"/>
      </rPr>
      <t xml:space="preserve">A/B </t>
    </r>
    <r>
      <rPr>
        <sz val="10"/>
        <rFont val="Noto Sans CJK SC"/>
        <family val="2"/>
      </rPr>
      <t xml:space="preserve">설계의 선결 요건은 서비스 존재</t>
    </r>
  </si>
  <si>
    <t xml:space="preserve">12:48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</si>
  <si>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고객용 페이지를 뽑아야 된다</t>
    </r>
    <r>
      <rPr>
        <sz val="10"/>
        <rFont val="Arial"/>
        <family val="0"/>
        <charset val="1"/>
      </rPr>
      <t xml:space="preserve">' — </t>
    </r>
    <r>
      <rPr>
        <sz val="10"/>
        <rFont val="Noto Sans CJK SC"/>
        <family val="2"/>
      </rPr>
      <t xml:space="preserve">산출물 지정</t>
    </r>
  </si>
  <si>
    <t xml:space="preserve">16:18</t>
  </si>
  <si>
    <t xml:space="preserve">그릴 레저 기록 확인 — 검토 대상 지정</t>
  </si>
  <si>
    <t xml:space="preserve">19:36</t>
  </si>
  <si>
    <t xml:space="preserve">의사결정 내용 포함해 구현 목표 부여</t>
  </si>
  <si>
    <t xml:space="preserve">20:43</t>
  </si>
  <si>
    <t xml:space="preserve">완성 조건이 명확히 드러나야 함</t>
  </si>
  <si>
    <t xml:space="preserve">21:41</t>
  </si>
  <si>
    <t xml:space="preserve">중간 기록 빠짐없이 리뷰 가능하게</t>
  </si>
  <si>
    <t xml:space="preserve">22:22</t>
  </si>
  <si>
    <t xml:space="preserve">도달 과정을 아는 것이 오너십</t>
  </si>
  <si>
    <t xml:space="preserve">26:21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</si>
  <si>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예쁘다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의 의미를 심미→목표 적합성으로 재정의</t>
    </r>
  </si>
  <si>
    <t xml:space="preserve">27:13</t>
  </si>
  <si>
    <t xml:space="preserve">전수 합격 시에만 완수 간주</t>
  </si>
  <si>
    <t xml:space="preserve">자율성이 어디로 튈지 모르는 상황의 투명 보고</t>
  </si>
  <si>
    <t xml:space="preserve">37:50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</si>
  <si>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여기에서 핵심은 자율성이에요</t>
    </r>
    <r>
      <rPr>
        <sz val="10"/>
        <rFont val="Arial"/>
        <family val="0"/>
        <charset val="1"/>
      </rPr>
      <t xml:space="preserve">'</t>
    </r>
  </si>
  <si>
    <t xml:space="preserve">39:00</t>
  </si>
  <si>
    <r>
      <rPr>
        <sz val="10"/>
        <rFont val="Noto Sans CJK SC"/>
        <family val="2"/>
      </rPr>
      <t xml:space="preserve">코어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마이너 의사결정 구분</t>
    </r>
  </si>
  <si>
    <t xml:space="preserve">39:32</t>
  </si>
  <si>
    <r>
      <rPr>
        <sz val="10"/>
        <rFont val="Noto Sans CJK SC"/>
        <family val="2"/>
      </rPr>
      <t xml:space="preserve">코어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마이너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개 종료 조건</t>
    </r>
  </si>
  <si>
    <t xml:space="preserve">41:09</t>
  </si>
  <si>
    <t xml:space="preserve">미션 크리티컬 영역은 자율성 제한</t>
  </si>
  <si>
    <t xml:space="preserve">41:43</t>
  </si>
  <si>
    <r>
      <rPr>
        <sz val="10"/>
        <rFont val="Noto Sans CJK SC"/>
        <family val="2"/>
      </rPr>
      <t xml:space="preserve">생산성 임계점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자율성 최전선</t>
    </r>
  </si>
  <si>
    <t xml:space="preserve">42:02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</si>
  <si>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자율성의 양을 측정하면 된다</t>
    </r>
    <r>
      <rPr>
        <sz val="10"/>
        <rFont val="Arial"/>
        <family val="0"/>
        <charset val="1"/>
      </rPr>
      <t xml:space="preserve">'</t>
    </r>
  </si>
  <si>
    <t xml:space="preserve">45:09</t>
  </si>
  <si>
    <t xml:space="preserve">완성 조건 명시</t>
  </si>
  <si>
    <t xml:space="preserve">46:41</t>
  </si>
  <si>
    <r>
      <rPr>
        <sz val="10"/>
        <rFont val="Arial"/>
        <family val="0"/>
        <charset val="1"/>
      </rPr>
      <t xml:space="preserve">AI 1</t>
    </r>
    <r>
      <rPr>
        <sz val="10"/>
        <rFont val="Noto Sans CJK SC"/>
        <family val="2"/>
      </rPr>
      <t xml:space="preserve">회 작업량 </t>
    </r>
    <r>
      <rPr>
        <sz val="10"/>
        <rFont val="Arial"/>
        <family val="0"/>
        <charset val="1"/>
      </rPr>
      <t xml:space="preserve">× N = </t>
    </r>
    <r>
      <rPr>
        <sz val="10"/>
        <rFont val="Noto Sans CJK SC"/>
        <family val="2"/>
      </rPr>
      <t xml:space="preserve">총량 감각</t>
    </r>
  </si>
  <si>
    <t xml:space="preserve">47:02</t>
  </si>
  <si>
    <t xml:space="preserve">턴 캡 설정</t>
  </si>
  <si>
    <t xml:space="preserve">47:56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</si>
  <si>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이거 전부 예산입니다</t>
    </r>
    <r>
      <rPr>
        <sz val="10"/>
        <rFont val="Arial"/>
        <family val="0"/>
        <charset val="1"/>
      </rPr>
      <t xml:space="preserve">'</t>
    </r>
  </si>
  <si>
    <t xml:space="preserve">55:15</t>
  </si>
  <si>
    <r>
      <rPr>
        <sz val="10"/>
        <rFont val="Noto Sans CJK SC"/>
        <family val="2"/>
      </rPr>
      <t xml:space="preserve">디자인 선적용 금지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수정 비용이라는 이유가 본체</t>
    </r>
  </si>
  <si>
    <t xml:space="preserve">59:20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</si>
  <si>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마음을 내려놓으세요</t>
    </r>
    <r>
      <rPr>
        <sz val="10"/>
        <rFont val="Arial"/>
        <family val="0"/>
        <charset val="1"/>
      </rPr>
      <t xml:space="preserve">' — </t>
    </r>
    <r>
      <rPr>
        <sz val="10"/>
        <rFont val="Noto Sans CJK SC"/>
        <family val="2"/>
      </rPr>
      <t xml:space="preserve">정서적 지지 멘트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복습 신호 아님</t>
    </r>
  </si>
  <si>
    <t xml:space="preserve">59:58</t>
  </si>
  <si>
    <t xml:space="preserve">서비스 화면에 입각한 랜딩 페이지</t>
  </si>
  <si>
    <t xml:space="preserve">1:00:56</t>
  </si>
  <si>
    <r>
      <rPr>
        <sz val="10"/>
        <rFont val="Noto Sans CJK SC"/>
        <family val="2"/>
      </rPr>
      <t xml:space="preserve">최종 </t>
    </r>
    <r>
      <rPr>
        <sz val="10"/>
        <rFont val="Arial"/>
        <family val="0"/>
        <charset val="1"/>
      </rPr>
      <t xml:space="preserve">CTA </t>
    </r>
    <r>
      <rPr>
        <sz val="10"/>
        <rFont val="Noto Sans CJK SC"/>
        <family val="2"/>
      </rPr>
      <t xml:space="preserve">도달 위한 중간 체험 단계</t>
    </r>
  </si>
  <si>
    <t xml:space="preserve">1:04:22</t>
  </si>
  <si>
    <r>
      <rPr>
        <sz val="10"/>
        <rFont val="Noto Sans CJK SC"/>
        <family val="2"/>
      </rPr>
      <t xml:space="preserve">교육 서비스는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누가 하는지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 핵심</t>
    </r>
  </si>
  <si>
    <t xml:space="preserve">1:07:23</t>
  </si>
  <si>
    <t xml:space="preserve">증명 종류에 따라 신뢰 전환이 달라짐</t>
  </si>
  <si>
    <t xml:space="preserve">1:10:19</t>
  </si>
  <si>
    <t xml:space="preserve">퍼널 구조는 신뢰도 강화를 따름</t>
  </si>
  <si>
    <t xml:space="preserve">1:18:20</t>
  </si>
  <si>
    <t xml:space="preserve">디스클레이머로 한계를 미리 명시 — 요구 행동</t>
  </si>
  <si>
    <t xml:space="preserve">1:24:32</t>
  </si>
  <si>
    <r>
      <rPr>
        <sz val="10"/>
        <rFont val="Noto Sans CJK SC"/>
        <family val="2"/>
      </rPr>
      <t xml:space="preserve">더미 데이터도 유효한 이유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분석 작업은 동일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가 본체</t>
    </r>
  </si>
  <si>
    <t xml:space="preserve">1:30:48</t>
  </si>
  <si>
    <r>
      <rPr>
        <sz val="10"/>
        <rFont val="Arial"/>
        <family val="0"/>
        <charset val="1"/>
      </rPr>
      <t xml:space="preserve">What/Where/How </t>
    </r>
    <r>
      <rPr>
        <sz val="10"/>
        <rFont val="Noto Sans CJK SC"/>
        <family val="2"/>
      </rPr>
      <t xml:space="preserve">빠짐없이</t>
    </r>
  </si>
  <si>
    <t xml:space="preserve">1:31:49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</si>
  <si>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물리적인 책임감을 가지고 프롬프팅</t>
    </r>
    <r>
      <rPr>
        <sz val="10"/>
        <rFont val="Arial"/>
        <family val="0"/>
        <charset val="1"/>
      </rPr>
      <t xml:space="preserve">' — </t>
    </r>
    <r>
      <rPr>
        <sz val="10"/>
        <rFont val="Noto Sans CJK SC"/>
        <family val="2"/>
      </rPr>
      <t xml:space="preserve">요구 행동</t>
    </r>
  </si>
  <si>
    <t xml:space="preserve">1:35:54</t>
  </si>
  <si>
    <r>
      <rPr>
        <sz val="10"/>
        <rFont val="Noto Sans CJK SC"/>
        <family val="2"/>
      </rPr>
      <t xml:space="preserve">수업 진행 순서 안내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학습 내용 우선순위 아님</t>
    </r>
  </si>
  <si>
    <r>
      <rPr>
        <b val="true"/>
        <sz val="10"/>
        <rFont val="Arial"/>
        <family val="0"/>
        <charset val="1"/>
      </rPr>
      <t xml:space="preserve">Human </t>
    </r>
    <r>
      <rPr>
        <b val="true"/>
        <sz val="10"/>
        <rFont val="Noto Sans CJK SC"/>
        <family val="2"/>
      </rPr>
      <t xml:space="preserve">검토 구간 내에서 </t>
    </r>
    <r>
      <rPr>
        <b val="true"/>
        <sz val="10"/>
        <rFont val="Arial"/>
        <family val="0"/>
        <charset val="1"/>
      </rPr>
      <t xml:space="preserve">AI</t>
    </r>
    <r>
      <rPr>
        <b val="true"/>
        <sz val="10"/>
        <rFont val="Noto Sans CJK SC"/>
        <family val="2"/>
      </rPr>
      <t xml:space="preserve">가 추가로 판정한 </t>
    </r>
    <r>
      <rPr>
        <b val="true"/>
        <sz val="10"/>
        <rFont val="Arial"/>
        <family val="0"/>
        <charset val="1"/>
      </rPr>
      <t xml:space="preserve">Signal — </t>
    </r>
    <r>
      <rPr>
        <b val="true"/>
        <sz val="10"/>
        <rFont val="Noto Sans CJK SC"/>
        <family val="2"/>
      </rPr>
      <t xml:space="preserve">미탐</t>
    </r>
    <r>
      <rPr>
        <b val="true"/>
        <sz val="10"/>
        <rFont val="Arial"/>
        <family val="0"/>
        <charset val="1"/>
      </rPr>
      <t xml:space="preserve">(False Negative) </t>
    </r>
    <r>
      <rPr>
        <b val="true"/>
        <sz val="10"/>
        <rFont val="Noto Sans CJK SC"/>
        <family val="2"/>
      </rPr>
      <t xml:space="preserve">후보</t>
    </r>
  </si>
  <si>
    <t xml:space="preserve">Type</t>
  </si>
  <si>
    <t xml:space="preserve">강도</t>
  </si>
  <si>
    <r>
      <rPr>
        <b val="true"/>
        <sz val="10"/>
        <color rgb="FFFFFFFF"/>
        <rFont val="Arial"/>
        <family val="0"/>
        <charset val="1"/>
      </rPr>
      <t xml:space="preserve">Signal </t>
    </r>
    <r>
      <rPr>
        <b val="true"/>
        <sz val="10"/>
        <color rgb="FFFFFFFF"/>
        <rFont val="Noto Sans CJK SC"/>
        <family val="2"/>
      </rPr>
      <t xml:space="preserve">요약</t>
    </r>
  </si>
  <si>
    <t xml:space="preserve">강사 발화 근거</t>
  </si>
  <si>
    <t xml:space="preserve">N01</t>
  </si>
  <si>
    <t xml:space="preserve">03:38</t>
  </si>
  <si>
    <r>
      <rPr>
        <sz val="10"/>
        <rFont val="Noto Sans CJK SC"/>
        <family val="2"/>
      </rPr>
      <t xml:space="preserve">회고의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단 구조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무엇을 했고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어떤 산출물을 얻었고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앞으로 어떻게</t>
    </r>
  </si>
  <si>
    <r>
      <rPr>
        <sz val="10"/>
        <rFont val="Noto Sans CJK SC"/>
        <family val="2"/>
      </rPr>
      <t xml:space="preserve">내가 왜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무엇을 했고 어떤 산출물을 얻었고 앞으로 이걸 어떻게 하겠다라는 생각 정리</t>
    </r>
  </si>
  <si>
    <t xml:space="preserve">N02</t>
  </si>
  <si>
    <t xml:space="preserve">04:28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</si>
  <si>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에게 회고를 시킨 것은 인간이 회고한 것과 본질적으로 다름</t>
    </r>
  </si>
  <si>
    <r>
      <rPr>
        <sz val="10"/>
        <rFont val="Noto Sans CJK SC"/>
        <family val="2"/>
      </rPr>
      <t xml:space="preserve">인간이 회고해야 되는데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한테 회고한 것은 비슷한 게 아니죠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아예 다른 거죠</t>
    </r>
  </si>
  <si>
    <t xml:space="preserve">N03</t>
  </si>
  <si>
    <t xml:space="preserve">05:37</t>
  </si>
  <si>
    <t xml:space="preserve">세부 항목부터가 아니라 전체 핵심 키워드로 아웃라인을 먼저 짤 것</t>
  </si>
  <si>
    <r>
      <rPr>
        <sz val="10"/>
        <rFont val="Noto Sans CJK SC"/>
        <family val="2"/>
      </rPr>
      <t xml:space="preserve">전체 아웃라인을 먼저 짜 보면 또 어때요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개념 지도가 부터 한번 쫙 펼쳐지고</t>
    </r>
  </si>
  <si>
    <t xml:space="preserve">N04</t>
  </si>
  <si>
    <t xml:space="preserve">08:18</t>
  </si>
  <si>
    <r>
      <rPr>
        <sz val="10"/>
        <rFont val="Arial"/>
        <family val="0"/>
        <charset val="1"/>
      </rPr>
      <t xml:space="preserve">PRD </t>
    </r>
    <r>
      <rPr>
        <sz val="10"/>
        <rFont val="Noto Sans CJK SC"/>
        <family val="2"/>
      </rPr>
      <t xml:space="preserve">품질의 정의 — 루티드 문서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기획 내용의 통합 원본</t>
    </r>
  </si>
  <si>
    <r>
      <rPr>
        <sz val="10"/>
        <rFont val="Arial"/>
        <family val="0"/>
        <charset val="1"/>
      </rPr>
      <t xml:space="preserve">PRD</t>
    </r>
    <r>
      <rPr>
        <sz val="10"/>
        <rFont val="Noto Sans CJK SC"/>
        <family val="2"/>
      </rPr>
      <t xml:space="preserve">는 루티드 문서여야 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기획 내용의 통합 원본 역할을 해야 한다</t>
    </r>
  </si>
  <si>
    <t xml:space="preserve">N05</t>
  </si>
  <si>
    <t xml:space="preserve">09:05</t>
  </si>
  <si>
    <r>
      <rPr>
        <sz val="10"/>
        <rFont val="Arial"/>
        <family val="0"/>
        <charset val="1"/>
      </rPr>
      <t xml:space="preserve">SRS</t>
    </r>
    <r>
      <rPr>
        <sz val="10"/>
        <rFont val="Noto Sans CJK SC"/>
        <family val="2"/>
      </rPr>
      <t xml:space="preserve">는 표준 양식을 따르되 필요한 챕터만 간결히</t>
    </r>
  </si>
  <si>
    <r>
      <rPr>
        <sz val="10"/>
        <rFont val="Arial"/>
        <family val="0"/>
        <charset val="1"/>
      </rPr>
      <t xml:space="preserve">SRS</t>
    </r>
    <r>
      <rPr>
        <sz val="10"/>
        <rFont val="Noto Sans CJK SC"/>
        <family val="2"/>
      </rPr>
      <t xml:space="preserve">는 표준 문서 양식을 따르되 필요한 챕터만 간결히 가져야 한다</t>
    </r>
  </si>
  <si>
    <t xml:space="preserve">N06</t>
  </si>
  <si>
    <t xml:space="preserve">09:44</t>
  </si>
  <si>
    <r>
      <rPr>
        <sz val="10"/>
        <rFont val="Noto Sans CJK SC"/>
        <family val="2"/>
      </rPr>
      <t xml:space="preserve">풀버전 표준문서를 쓰면 토큰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시간 비용이 폭증</t>
    </r>
  </si>
  <si>
    <t xml:space="preserve">토큰이 너무 많이 들고 항상 매번 뭐 칠 때마다 몇 십 분씩 걸려서</t>
  </si>
  <si>
    <t xml:space="preserve">N07</t>
  </si>
  <si>
    <t xml:space="preserve">15:03</t>
  </si>
  <si>
    <t xml:space="preserve">프로젝트 관리로 건너뛰고 싶어도 앞 단계에 시간을 쓴 이유가 있음</t>
  </si>
  <si>
    <t xml:space="preserve">그다음 단계로 프로젝트 관리로 갑자기 빨리 건너뛰고 싶겠지만 어제 충분한 시간을 쓴 이유가 있는 거죠</t>
  </si>
  <si>
    <t xml:space="preserve">N08</t>
  </si>
  <si>
    <t xml:space="preserve">15:21</t>
  </si>
  <si>
    <r>
      <rPr>
        <sz val="10"/>
        <rFont val="Noto Sans CJK SC"/>
        <family val="2"/>
      </rPr>
      <t xml:space="preserve">교안에 외부 링크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레퍼런스를 다 넣으면 나중에 리뷰 시 방황하게 됨</t>
    </r>
  </si>
  <si>
    <t xml:space="preserve">다 들어가 있으면 좋다고 생각할 수도 있지만 여러분은 그러면 안 되거든요</t>
  </si>
  <si>
    <t xml:space="preserve">N09</t>
  </si>
  <si>
    <t xml:space="preserve">24:40</t>
  </si>
  <si>
    <t xml:space="preserve">스크럼을 추가로 알아보고 리뷰를 풍성하게 할 것</t>
  </si>
  <si>
    <t xml:space="preserve">추가로 좀 더 알아보고 여러분의 리뷰를 풍성하게 할 수가 있겠다</t>
  </si>
  <si>
    <t xml:space="preserve">N10</t>
  </si>
  <si>
    <t xml:space="preserve">37:26</t>
  </si>
  <si>
    <r>
      <rPr>
        <sz val="10"/>
        <rFont val="Noto Sans CJK SC"/>
        <family val="2"/>
      </rPr>
      <t xml:space="preserve">과잉 분할 시 통합이 아니라 상단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개만 먼저 하는 방식으로 분할</t>
    </r>
  </si>
  <si>
    <r>
      <rPr>
        <sz val="10"/>
        <rFont val="Noto Sans CJK SC"/>
        <family val="2"/>
      </rPr>
      <t xml:space="preserve">그거는 그 작업을 통합하고 이렇게 하는 게 아니라 이번엔 위에 상단 먼저 하는 거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개만</t>
    </r>
  </si>
  <si>
    <t xml:space="preserve">N11</t>
  </si>
  <si>
    <t xml:space="preserve">41:38</t>
  </si>
  <si>
    <t xml:space="preserve">한국어에 맞춘 다듬기를 시도하면 코딩 성능이 떨어짐 — 그러려니 하고 읽어야</t>
  </si>
  <si>
    <t xml:space="preserve">그걸 한국말에 맞춰서 바람직한 국어로 다듬겠다라는 생각을 가지면 성능이 안 나와요</t>
  </si>
  <si>
    <t xml:space="preserve">N12</t>
  </si>
  <si>
    <t xml:space="preserve">46:22</t>
  </si>
  <si>
    <r>
      <rPr>
        <sz val="10"/>
        <rFont val="Noto Sans CJK SC"/>
        <family val="2"/>
      </rPr>
      <t xml:space="preserve">준비 안 된 외부 연동은 더미 데이터 생성이 아니라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모킹으로</t>
    </r>
  </si>
  <si>
    <r>
      <rPr>
        <sz val="10"/>
        <rFont val="Noto Sans CJK SC"/>
        <family val="2"/>
      </rPr>
      <t xml:space="preserve">범위 데이터 생성해 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워킹 해 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그러지 마세요</t>
    </r>
  </si>
  <si>
    <t xml:space="preserve">N13</t>
  </si>
  <si>
    <t xml:space="preserve">47:37</t>
  </si>
  <si>
    <r>
      <rPr>
        <sz val="10"/>
        <rFont val="Noto Sans CJK SC"/>
        <family val="2"/>
      </rPr>
      <t xml:space="preserve">요구한 다이어그램이 안 나온 건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가 토큰을 절약한 것</t>
    </r>
  </si>
  <si>
    <t xml:space="preserve">얘가 이거를 안 뽑았다는 거는 사실 그 요구사항에 대해서 토큰 절약을 한 거야</t>
  </si>
  <si>
    <t xml:space="preserve">N14</t>
  </si>
  <si>
    <t xml:space="preserve">50:38</t>
  </si>
  <si>
    <t xml:space="preserve">태스크는 한 시간 안에 끝나는 수준으로 썰려 있어야 함</t>
  </si>
  <si>
    <t xml:space="preserve">한 시간 안에 끝나는 것들 수준으로 썰려 있어야 돼요</t>
  </si>
  <si>
    <t xml:space="preserve">N15</t>
  </si>
  <si>
    <t xml:space="preserve">53:46</t>
  </si>
  <si>
    <r>
      <rPr>
        <sz val="10"/>
        <rFont val="Arial"/>
        <family val="0"/>
        <charset val="1"/>
      </rPr>
      <t xml:space="preserve">DAG </t>
    </r>
    <r>
      <rPr>
        <sz val="10"/>
        <rFont val="Noto Sans CJK SC"/>
        <family val="2"/>
      </rPr>
      <t xml:space="preserve">노드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개 초과 시 최대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개 수준으로 축약 요청</t>
    </r>
  </si>
  <si>
    <r>
      <rPr>
        <sz val="10"/>
        <rFont val="Noto Sans CJK SC"/>
        <family val="2"/>
      </rPr>
      <t xml:space="preserve">최대 노드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개의 수준으로 축약해서 표현해 줘라고 후속 프롬프팅</t>
    </r>
  </si>
  <si>
    <t xml:space="preserve">N16</t>
  </si>
  <si>
    <t xml:space="preserve">54:33</t>
  </si>
  <si>
    <r>
      <rPr>
        <sz val="10"/>
        <rFont val="Noto Sans CJK SC"/>
        <family val="2"/>
      </rPr>
      <t xml:space="preserve">노드 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개 정도가 사람이 읽을 수 있는 한계 — 넘으면 회의 자료로 못 씀</t>
    </r>
  </si>
  <si>
    <r>
      <rPr>
        <sz val="10"/>
        <rFont val="Noto Sans CJK SC"/>
        <family val="2"/>
      </rPr>
      <t xml:space="preserve">그 이상이 좀 넘어가기 시작하면 못 읽었고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회의 자료로 쓸 수 없게</t>
    </r>
  </si>
  <si>
    <t xml:space="preserve">N17</t>
  </si>
  <si>
    <t xml:space="preserve">1:06:13</t>
  </si>
  <si>
    <r>
      <rPr>
        <sz val="10"/>
        <rFont val="Noto Sans CJK SC"/>
        <family val="2"/>
      </rPr>
      <t xml:space="preserve">예제 프롬프트의 파일명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링크는 반드시 본인 것으로 교체</t>
    </r>
  </si>
  <si>
    <t xml:space="preserve">여러분의 파일로 꼭 바꿔 줘야 된다</t>
  </si>
  <si>
    <t xml:space="preserve">N18</t>
  </si>
  <si>
    <t xml:space="preserve">1:23:27</t>
  </si>
  <si>
    <r>
      <rPr>
        <sz val="10"/>
        <rFont val="Arial"/>
        <family val="0"/>
        <charset val="1"/>
      </rPr>
      <t xml:space="preserve">CLI</t>
    </r>
    <r>
      <rPr>
        <sz val="10"/>
        <rFont val="Noto Sans CJK SC"/>
        <family val="2"/>
      </rPr>
      <t xml:space="preserve">가 있는지를 먼저 확인하는 관점을 항상 가질 것</t>
    </r>
  </si>
  <si>
    <r>
      <rPr>
        <sz val="10"/>
        <rFont val="Arial"/>
        <family val="0"/>
        <charset val="1"/>
      </rPr>
      <t xml:space="preserve">CRI</t>
    </r>
    <r>
      <rPr>
        <sz val="10"/>
        <rFont val="Noto Sans CJK SC"/>
        <family val="2"/>
      </rPr>
      <t xml:space="preserve">가 있는지를 먼저 확인하기 라는 관점을 여러분 항상 생각하면 좋겠어요</t>
    </r>
  </si>
  <si>
    <t xml:space="preserve">N19</t>
  </si>
  <si>
    <t xml:space="preserve">1:25:15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</si>
  <si>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는 외부 통신 작업에서 보수적으로 최소만 함 — 최대한 하라고 명시해야</t>
    </r>
  </si>
  <si>
    <t xml:space="preserve">외부랑 통신해야 되는 부분이 있으면은 굉장히 좀 보수적으로 그 얘기한 만큼만</t>
  </si>
  <si>
    <t xml:space="preserve">N20</t>
  </si>
  <si>
    <t xml:space="preserve">1:26:35</t>
  </si>
  <si>
    <r>
      <rPr>
        <sz val="10"/>
        <rFont val="Arial"/>
        <family val="0"/>
        <charset val="1"/>
      </rPr>
      <t xml:space="preserve">CLI </t>
    </r>
    <r>
      <rPr>
        <sz val="10"/>
        <rFont val="Noto Sans CJK SC"/>
        <family val="2"/>
      </rPr>
      <t xml:space="preserve">설치도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에게 시킬 것</t>
    </r>
  </si>
  <si>
    <t xml:space="preserve">네가 설치해라고 하세요</t>
  </si>
  <si>
    <t xml:space="preserve">N21</t>
  </si>
  <si>
    <t xml:space="preserve">01:38</t>
  </si>
  <si>
    <t xml:space="preserve">수업 진도에 맞춰 다 뽑아놔야 한다는 방식으로 작업하면 안 됨</t>
  </si>
  <si>
    <t xml:space="preserve">다 뽑아내고 그다음을 해야지라고 하는 느낌을 혹시 받는다면 그거 그런 식으로 뽑으면은 안 된다</t>
  </si>
  <si>
    <t xml:space="preserve">N22</t>
  </si>
  <si>
    <t xml:space="preserve">15:30</t>
  </si>
  <si>
    <r>
      <rPr>
        <sz val="10"/>
        <rFont val="Noto Sans CJK SC"/>
        <family val="2"/>
      </rPr>
      <t xml:space="preserve">그릴을 충분히 안 하면 미결정 영역을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가 알아서 처리하게 됨</t>
    </r>
  </si>
  <si>
    <t xml:space="preserve">내가 의사 결정하지 않은 부분에 대해서 얘가 알아서 작업하는 부분들이 많아질 것이다</t>
  </si>
  <si>
    <t xml:space="preserve">N23</t>
  </si>
  <si>
    <t xml:space="preserve">32:10</t>
  </si>
  <si>
    <r>
      <rPr>
        <sz val="10"/>
        <rFont val="Noto Sans CJK SC"/>
        <family val="2"/>
      </rPr>
      <t xml:space="preserve">골 프롬프트가 </t>
    </r>
    <r>
      <rPr>
        <sz val="10"/>
        <rFont val="Arial"/>
        <family val="0"/>
        <charset val="1"/>
      </rPr>
      <t xml:space="preserve">4000</t>
    </r>
    <r>
      <rPr>
        <sz val="10"/>
        <rFont val="Noto Sans CJK SC"/>
        <family val="2"/>
      </rPr>
      <t xml:space="preserve">자를 넘으면 파일로 저장 후 참조</t>
    </r>
  </si>
  <si>
    <t xml:space="preserve">이거 파일로 저장한 다음에 볼 프롬프트에다가 이 파일에 있는 목표 달성할 때까지 해 줘</t>
  </si>
  <si>
    <t xml:space="preserve">N24</t>
  </si>
  <si>
    <t xml:space="preserve">51:02</t>
  </si>
  <si>
    <r>
      <rPr>
        <sz val="10"/>
        <rFont val="Noto Sans CJK SC"/>
        <family val="2"/>
      </rPr>
      <t xml:space="preserve">모든 프롬프트에 작업의 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후를 그려보며 오너십을 확인</t>
    </r>
  </si>
  <si>
    <t xml:space="preserve">작업의 전 중후를 그려보면서 완벽하게 소유하고 있는가를 물어보면서 프롬프트를 한다</t>
  </si>
  <si>
    <t xml:space="preserve">N25</t>
  </si>
  <si>
    <t xml:space="preserve">1:03:20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</si>
  <si>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슬롭은 다크테마 같은 시각요소가 아니라 언어의 문제</t>
    </r>
  </si>
  <si>
    <r>
      <rPr>
        <sz val="10"/>
        <rFont val="Noto Sans CJK SC"/>
        <family val="2"/>
      </rPr>
      <t xml:space="preserve">프로딩빙한 다크 테마가 다 문제가 아니라는 거예요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언어적인 문제가 훨씬 더 크다</t>
    </r>
  </si>
  <si>
    <t xml:space="preserve">N26</t>
  </si>
  <si>
    <t xml:space="preserve">1:20:24</t>
  </si>
  <si>
    <t xml:space="preserve">디스클레이머는 읽히는 폰트로 — 구석 작은 글씨는 바람직하지 않음</t>
  </si>
  <si>
    <t xml:space="preserve">디스클레이머 이거보다는 확실히 선명한 좀 밝은 폰트로 해야 돼요</t>
  </si>
  <si>
    <t xml:space="preserve">N27</t>
  </si>
  <si>
    <t xml:space="preserve">57:02</t>
  </si>
  <si>
    <t xml:space="preserve">태스크 문서에 디자인 시스템이 이미 있어도 내 의도가 아니면 다시 세팅</t>
  </si>
  <si>
    <t xml:space="preserve">포함되어 있어도 다시 놔야 됩니다</t>
  </si>
  <si>
    <r>
      <rPr>
        <b val="true"/>
        <sz val="10"/>
        <rFont val="Arial"/>
        <family val="0"/>
        <charset val="1"/>
      </rPr>
      <t xml:space="preserve">Dataset v0.1</t>
    </r>
    <r>
      <rPr>
        <b val="true"/>
        <sz val="10"/>
        <rFont val="Noto Sans CJK SC"/>
        <family val="2"/>
      </rPr>
      <t xml:space="preserve">이 다루지 않은 세션</t>
    </r>
    <r>
      <rPr>
        <b val="true"/>
        <sz val="10"/>
        <rFont val="Arial"/>
        <family val="0"/>
        <charset val="1"/>
      </rPr>
      <t xml:space="preserve">(26</t>
    </r>
    <r>
      <rPr>
        <b val="true"/>
        <sz val="10"/>
        <rFont val="Noto Sans CJK SC"/>
        <family val="2"/>
      </rPr>
      <t xml:space="preserve">일 </t>
    </r>
    <r>
      <rPr>
        <b val="true"/>
        <sz val="10"/>
        <rFont val="Arial"/>
        <family val="0"/>
        <charset val="1"/>
      </rPr>
      <t xml:space="preserve">2·3</t>
    </r>
    <r>
      <rPr>
        <b val="true"/>
        <sz val="10"/>
        <rFont val="Noto Sans CJK SC"/>
        <family val="2"/>
      </rPr>
      <t xml:space="preserve">교시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에서 발견된 </t>
    </r>
    <r>
      <rPr>
        <b val="true"/>
        <sz val="10"/>
        <rFont val="Arial"/>
        <family val="0"/>
        <charset val="1"/>
      </rPr>
      <t xml:space="preserve">Signal — </t>
    </r>
    <r>
      <rPr>
        <b val="true"/>
        <sz val="10"/>
        <rFont val="Noto Sans CJK SC"/>
        <family val="2"/>
      </rPr>
      <t xml:space="preserve">범위 누락</t>
    </r>
    <r>
      <rPr>
        <b val="true"/>
        <sz val="10"/>
        <rFont val="Arial"/>
        <family val="0"/>
        <charset val="1"/>
      </rPr>
      <t xml:space="preserve">(Scope Gap)</t>
    </r>
  </si>
  <si>
    <t xml:space="preserve">세션</t>
  </si>
  <si>
    <t xml:space="preserve">U01</t>
  </si>
  <si>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교시</t>
    </r>
  </si>
  <si>
    <t xml:space="preserve">21:30</t>
  </si>
  <si>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에게 프로젝트 구현 목표를 인식시켜 작업 규칙을 스스로 수립하게 함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메타인지</t>
    </r>
  </si>
  <si>
    <r>
      <rPr>
        <sz val="10"/>
        <rFont val="Noto Sans CJK SC"/>
        <family val="2"/>
      </rPr>
      <t xml:space="preserve">그에 맞춰서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작업 규칙을 네가 알아서 수립해라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 얘한테 메타 인지를 시키는 겁니다</t>
    </r>
  </si>
  <si>
    <t xml:space="preserve">U02</t>
  </si>
  <si>
    <t xml:space="preserve">25:07</t>
  </si>
  <si>
    <t xml:space="preserve">프로젝트 핵심 목표를 오버뷰 규칙으로 잡으면 범위 이탈 작업이 줄어듦</t>
  </si>
  <si>
    <t xml:space="preserve">이 프로젝트의 핵심 목표를 규칙으로 오버뷰로 잡아 놓는 방식을 따르면 이상한 게 안 들어가요</t>
  </si>
  <si>
    <t xml:space="preserve">U03</t>
  </si>
  <si>
    <t xml:space="preserve">26:33</t>
  </si>
  <si>
    <t xml:space="preserve">하네스 샘플은 크게 만들어야 함 — 축약이 확장보다 토큰이 싸다</t>
  </si>
  <si>
    <r>
      <rPr>
        <sz val="10"/>
        <rFont val="Noto Sans CJK SC"/>
        <family val="2"/>
      </rPr>
      <t xml:space="preserve">있는 걸 축약하는 건 쉽거든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토큰도 그게 더 절약되거든요</t>
    </r>
  </si>
  <si>
    <t xml:space="preserve">U04</t>
  </si>
  <si>
    <t xml:space="preserve">37:24</t>
  </si>
  <si>
    <t xml:space="preserve">가져온 스킬은 인기 여부와 무관하게 반드시 열어보고 쓸 것</t>
  </si>
  <si>
    <t xml:space="preserve">웬만해서는 내 프로젝트에 가져와서 쓰는 거는 다 열어 보고 써야 된다</t>
  </si>
  <si>
    <t xml:space="preserve">U05</t>
  </si>
  <si>
    <t xml:space="preserve">53:55</t>
  </si>
  <si>
    <t xml:space="preserve">벤더가 제안하는 한 줄짜리 골 프롬프트로는 오너십이 생기지 않음</t>
  </si>
  <si>
    <t xml:space="preserve">절대 그거 해 그렇게 해서 오너십이 생기지 않아요</t>
  </si>
  <si>
    <t xml:space="preserve">U06</t>
  </si>
  <si>
    <t xml:space="preserve">골을 바로 호출하지 말고 골 세팅 스킬을 먼저 호출</t>
  </si>
  <si>
    <t xml:space="preserve">꼴이라고 호출하지 말고 제가 만드는 이 꼴 세팅 스킬을 호출해서</t>
  </si>
  <si>
    <t xml:space="preserve">U07</t>
  </si>
  <si>
    <t xml:space="preserve">1:29:57</t>
  </si>
  <si>
    <r>
      <rPr>
        <sz val="10"/>
        <rFont val="Noto Sans CJK SC"/>
        <family val="2"/>
      </rPr>
      <t xml:space="preserve">랜딩 페이지의 본질은 다음 행동을 촉구하는 </t>
    </r>
    <r>
      <rPr>
        <sz val="10"/>
        <rFont val="Arial"/>
        <family val="0"/>
        <charset val="1"/>
      </rPr>
      <t xml:space="preserve">CTA </t>
    </r>
    <r>
      <rPr>
        <sz val="10"/>
        <rFont val="Noto Sans CJK SC"/>
        <family val="2"/>
      </rPr>
      <t xml:space="preserve">설계</t>
    </r>
  </si>
  <si>
    <t xml:space="preserve">어떤 행동을 하라고 촉구하는 디자인으로 돼 있어야 돼요</t>
  </si>
  <si>
    <t xml:space="preserve">U08</t>
  </si>
  <si>
    <t xml:space="preserve">1:41:13</t>
  </si>
  <si>
    <r>
      <rPr>
        <sz val="10"/>
        <rFont val="Noto Sans CJK SC"/>
        <family val="2"/>
      </rPr>
      <t xml:space="preserve">이력서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포트폴리오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랜딩페이지 모두 각 섹션 제목을 정확히 뽑을 것</t>
    </r>
  </si>
  <si>
    <r>
      <rPr>
        <sz val="10"/>
        <rFont val="Noto Sans CJK SC"/>
        <family val="2"/>
      </rPr>
      <t xml:space="preserve">각 섹션의 제목을 정확하게 뽑으세요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이력서든 포트폴리오든 랜딩 페이지든 다 마찬가지</t>
    </r>
  </si>
  <si>
    <t xml:space="preserve">U09</t>
  </si>
  <si>
    <t xml:space="preserve">1:43:21</t>
  </si>
  <si>
    <t xml:space="preserve">열 단어를 다섯 단어로 줄이는 것은 재조합이 아니라 다른 방식의 표현 — 다음 레벨</t>
  </si>
  <si>
    <t xml:space="preserve">열 단어 다섯 단어로 줄이면서 내용 손실이 없게 만드는 거는 진짜 그다음 레벨이에요</t>
  </si>
  <si>
    <t xml:space="preserve">U10</t>
  </si>
  <si>
    <t xml:space="preserve">1:45:16</t>
  </si>
  <si>
    <r>
      <rPr>
        <sz val="10"/>
        <rFont val="Noto Sans CJK SC"/>
        <family val="2"/>
      </rPr>
      <t xml:space="preserve">헤드라이닝을 딸깍으로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에게 시키는 순간 그 단계에 도달하지 못함</t>
    </r>
  </si>
  <si>
    <r>
      <rPr>
        <sz val="10"/>
        <rFont val="Noto Sans CJK SC"/>
        <family val="2"/>
      </rPr>
      <t xml:space="preserve">딸깍으로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한테 시켜서 해 보겠다라는 마음가짐으로 시켜 보잖아요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거기서 이미 끝났어요</t>
    </r>
  </si>
  <si>
    <t xml:space="preserve">U11</t>
  </si>
  <si>
    <t xml:space="preserve">1:52:05</t>
  </si>
  <si>
    <t xml:space="preserve">모든 문서는 히어로 섹션과 그 아래 섹션에서 승부가 남</t>
  </si>
  <si>
    <r>
      <rPr>
        <sz val="10"/>
        <rFont val="Noto Sans CJK SC"/>
        <family val="2"/>
      </rPr>
      <t xml:space="preserve">섹션 </t>
    </r>
    <r>
      <rPr>
        <sz val="10"/>
        <rFont val="Arial"/>
        <family val="0"/>
        <charset val="1"/>
      </rPr>
      <t xml:space="preserve">1, 2</t>
    </r>
    <r>
      <rPr>
        <sz val="10"/>
        <rFont val="Noto Sans CJK SC"/>
        <family val="2"/>
      </rPr>
      <t xml:space="preserve">에서 승부를 봐야지 지금 모든 단위의 모든 문서에서 그래요</t>
    </r>
  </si>
  <si>
    <t xml:space="preserve">U12</t>
  </si>
  <si>
    <t xml:space="preserve">1:59:22</t>
  </si>
  <si>
    <r>
      <rPr>
        <sz val="10"/>
        <rFont val="Arial"/>
        <family val="0"/>
        <charset val="1"/>
      </rPr>
      <t xml:space="preserve">UX </t>
    </r>
    <r>
      <rPr>
        <sz val="10"/>
        <rFont val="Noto Sans CJK SC"/>
        <family val="2"/>
      </rPr>
      <t xml:space="preserve">결과물을 눈으로 확인하기 전에 랜딩 페이지로 넘어가지 말 것</t>
    </r>
  </si>
  <si>
    <t xml:space="preserve">그걸 안 보고 랜딩 페이지로도 넘어가지 말라는 거예요</t>
  </si>
  <si>
    <t xml:space="preserve">U13</t>
  </si>
  <si>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교시</t>
    </r>
  </si>
  <si>
    <t xml:space="preserve">31:16</t>
  </si>
  <si>
    <t xml:space="preserve">오래 걸릴 작업은 작업 범위 선언을 확인하고 시작하는 습관</t>
  </si>
  <si>
    <t xml:space="preserve">무슨 작업하든지 오래 걸릴 것 같은 작업은 이걸 확인하고 시작하는 습관을 꼭 들이세요</t>
  </si>
  <si>
    <t xml:space="preserve">U14</t>
  </si>
  <si>
    <t xml:space="preserve">32:43</t>
  </si>
  <si>
    <t xml:space="preserve">태스크는 상세해 보이지만 완전하지 않다</t>
  </si>
  <si>
    <t xml:space="preserve">테스크는 상세해 보이지만 완전하지 않아요</t>
  </si>
  <si>
    <t xml:space="preserve">U15</t>
  </si>
  <si>
    <t xml:space="preserve">33:47</t>
  </si>
  <si>
    <t xml:space="preserve">모르는 용어를 인지한 즉시 대응하는 것이 메타인지이고 생산성 차이를 만듦</t>
  </si>
  <si>
    <r>
      <rPr>
        <sz val="10"/>
        <rFont val="Noto Sans CJK SC"/>
        <family val="2"/>
      </rPr>
      <t xml:space="preserve">내가 인지했을 때 그 인지 새롭게 내 스스로 진단한 상황에 대해서 아주 예민하게 즉시 대응하는 거죠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메타인지죠</t>
    </r>
  </si>
  <si>
    <t xml:space="preserve">U16</t>
  </si>
  <si>
    <t xml:space="preserve">45:47</t>
  </si>
  <si>
    <t xml:space="preserve">객관식 선택지라도 원하는 답이 아니면 절대 누르지 말고 말로 할 것</t>
  </si>
  <si>
    <t xml:space="preserve">내가 원하는 피드백이 아닌 것은 절대 누르지 마세요</t>
  </si>
  <si>
    <r>
      <rPr>
        <b val="true"/>
        <sz val="10"/>
        <rFont val="Noto Sans CJK SC"/>
        <family val="2"/>
      </rPr>
      <t xml:space="preserve">오류 및 애매 사례 — </t>
    </r>
    <r>
      <rPr>
        <b val="true"/>
        <sz val="10"/>
        <rFont val="Arial"/>
        <family val="0"/>
        <charset val="1"/>
      </rPr>
      <t xml:space="preserve">Classifier v0.2 </t>
    </r>
    <r>
      <rPr>
        <b val="true"/>
        <sz val="10"/>
        <rFont val="Noto Sans CJK SC"/>
        <family val="2"/>
      </rPr>
      <t xml:space="preserve">반영 대상</t>
    </r>
  </si>
  <si>
    <t xml:space="preserve">issue_type</t>
  </si>
  <si>
    <t xml:space="preserve">설명</t>
  </si>
  <si>
    <t xml:space="preserve">조치 방향</t>
  </si>
  <si>
    <t xml:space="preserve">POSSIBLE_FALSE_POSITIVE</t>
  </si>
  <si>
    <r>
      <rPr>
        <sz val="10"/>
        <rFont val="Noto Sans CJK SC"/>
        <family val="2"/>
      </rPr>
      <t xml:space="preserve">수업 진행 서술을 </t>
    </r>
    <r>
      <rPr>
        <sz val="10"/>
        <rFont val="Arial"/>
        <family val="0"/>
        <charset val="1"/>
      </rPr>
      <t xml:space="preserve">PRACTICAL</t>
    </r>
    <r>
      <rPr>
        <sz val="10"/>
        <rFont val="Noto Sans CJK SC"/>
        <family val="2"/>
      </rPr>
      <t xml:space="preserve">로 태깅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강사의 가치 판단이 없음</t>
    </r>
  </si>
  <si>
    <r>
      <rPr>
        <sz val="10"/>
        <rFont val="Arial"/>
        <family val="0"/>
        <charset val="1"/>
      </rPr>
      <t xml:space="preserve">v0.2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실무 맥락 언급만으로는 신호 아님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기준 강화</t>
    </r>
  </si>
  <si>
    <r>
      <rPr>
        <sz val="10"/>
        <rFont val="Noto Sans CJK SC"/>
        <family val="2"/>
      </rPr>
      <t xml:space="preserve">질문 독려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수업 운영 멘트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학습 콘텐츠와 무관</t>
    </r>
  </si>
  <si>
    <r>
      <rPr>
        <sz val="10"/>
        <rFont val="Noto Sans CJK SC"/>
        <family val="2"/>
      </rPr>
      <t xml:space="preserve">운영 멘트 제외 규칙을 </t>
    </r>
    <r>
      <rPr>
        <sz val="10"/>
        <rFont val="Arial"/>
        <family val="0"/>
        <charset val="1"/>
      </rPr>
      <t xml:space="preserve">Classifier Spec NO_SIGNAL</t>
    </r>
    <r>
      <rPr>
        <sz val="10"/>
        <rFont val="Noto Sans CJK SC"/>
        <family val="2"/>
      </rPr>
      <t xml:space="preserve">에 명시</t>
    </r>
  </si>
  <si>
    <r>
      <rPr>
        <sz val="10"/>
        <rFont val="Arial"/>
        <family val="0"/>
        <charset val="1"/>
      </rPr>
      <t xml:space="preserve">'~</t>
    </r>
    <r>
      <rPr>
        <sz val="10"/>
        <rFont val="Noto Sans CJK SC"/>
        <family val="2"/>
      </rPr>
      <t xml:space="preserve">하는 서비스는 없어요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는 사실 서술</t>
    </r>
    <r>
      <rPr>
        <sz val="10"/>
        <rFont val="Arial"/>
        <family val="0"/>
        <charset val="1"/>
      </rPr>
      <t xml:space="preserve">. AVOID</t>
    </r>
    <r>
      <rPr>
        <sz val="10"/>
        <rFont val="Noto Sans CJK SC"/>
        <family val="2"/>
      </rPr>
      <t xml:space="preserve">로 보기 어려움</t>
    </r>
  </si>
  <si>
    <r>
      <rPr>
        <sz val="10"/>
        <rFont val="Noto Sans CJK SC"/>
        <family val="2"/>
      </rPr>
      <t xml:space="preserve">부정문 전체를 </t>
    </r>
    <r>
      <rPr>
        <sz val="10"/>
        <rFont val="Arial"/>
        <family val="0"/>
        <charset val="1"/>
      </rPr>
      <t xml:space="preserve">AVOID</t>
    </r>
    <r>
      <rPr>
        <sz val="10"/>
        <rFont val="Noto Sans CJK SC"/>
        <family val="2"/>
      </rPr>
      <t xml:space="preserve">로 보지 않는다는 기존 주의사항이 적용 안 됨</t>
    </r>
  </si>
  <si>
    <r>
      <rPr>
        <sz val="10"/>
        <rFont val="Noto Sans CJK SC"/>
        <family val="2"/>
      </rPr>
      <t xml:space="preserve">정서적 지지 멘트</t>
    </r>
    <r>
      <rPr>
        <sz val="10"/>
        <rFont val="Arial"/>
        <family val="0"/>
        <charset val="1"/>
      </rPr>
      <t xml:space="preserve">('</t>
    </r>
    <r>
      <rPr>
        <sz val="10"/>
        <rFont val="Noto Sans CJK SC"/>
        <family val="2"/>
      </rPr>
      <t xml:space="preserve">마음을 내려놓으세요</t>
    </r>
    <r>
      <rPr>
        <sz val="10"/>
        <rFont val="Arial"/>
        <family val="0"/>
        <charset val="1"/>
      </rPr>
      <t xml:space="preserve">')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INSIGHT</t>
    </r>
    <r>
      <rPr>
        <sz val="10"/>
        <rFont val="Noto Sans CJK SC"/>
        <family val="2"/>
      </rPr>
      <t xml:space="preserve">로 태깅</t>
    </r>
  </si>
  <si>
    <t xml:space="preserve">정서적 발화 제외 규칙 신설 필요</t>
  </si>
  <si>
    <r>
      <rPr>
        <sz val="10"/>
        <rFont val="Noto Sans CJK SC"/>
        <family val="2"/>
      </rPr>
      <t xml:space="preserve">수업 진행 순서 안내를 </t>
    </r>
    <r>
      <rPr>
        <sz val="10"/>
        <rFont val="Arial"/>
        <family val="0"/>
        <charset val="1"/>
      </rPr>
      <t xml:space="preserve">AVOID</t>
    </r>
    <r>
      <rPr>
        <sz val="10"/>
        <rFont val="Noto Sans CJK SC"/>
        <family val="2"/>
      </rPr>
      <t xml:space="preserve">로 태깅</t>
    </r>
  </si>
  <si>
    <t xml:space="preserve">운영 멘트 제외 규칙과 동일 건</t>
  </si>
  <si>
    <t xml:space="preserve">1:34:43~1:34:55</t>
  </si>
  <si>
    <t xml:space="preserve">DUPLICATE_SIGNAL</t>
  </si>
  <si>
    <r>
      <rPr>
        <sz val="10"/>
        <rFont val="Noto Sans CJK SC"/>
        <family val="2"/>
      </rPr>
      <t xml:space="preserve">동일 주제</t>
    </r>
    <r>
      <rPr>
        <sz val="10"/>
        <rFont val="Arial"/>
        <family val="0"/>
        <charset val="1"/>
      </rPr>
      <t xml:space="preserve">(GH </t>
    </r>
    <r>
      <rPr>
        <sz val="10"/>
        <rFont val="Noto Sans CJK SC"/>
        <family val="2"/>
      </rPr>
      <t xml:space="preserve">명령어 직접 입력 금지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MUST/AVOID 2</t>
    </r>
    <r>
      <rPr>
        <sz val="10"/>
        <rFont val="Noto Sans CJK SC"/>
        <family val="2"/>
      </rPr>
      <t xml:space="preserve">건으로 분리됨</t>
    </r>
  </si>
  <si>
    <r>
      <rPr>
        <sz val="10"/>
        <rFont val="Noto Sans CJK SC"/>
        <family val="2"/>
      </rPr>
      <t xml:space="preserve">프롬프트 </t>
    </r>
    <r>
      <rPr>
        <sz val="10"/>
        <rFont val="Arial"/>
        <family val="0"/>
        <charset val="1"/>
      </rPr>
      <t xml:space="preserve">§10 </t>
    </r>
    <r>
      <rPr>
        <sz val="10"/>
        <rFont val="Noto Sans CJK SC"/>
        <family val="2"/>
      </rPr>
      <t xml:space="preserve">중복 처리 규칙대로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건으로 병합 검토</t>
    </r>
  </si>
  <si>
    <t xml:space="preserve">전체</t>
  </si>
  <si>
    <t xml:space="preserve">-</t>
  </si>
  <si>
    <t xml:space="preserve">POSSIBLE_FALSE_NEGATIVE</t>
  </si>
  <si>
    <r>
      <rPr>
        <sz val="10"/>
        <rFont val="Arial"/>
        <family val="0"/>
        <charset val="1"/>
      </rPr>
      <t xml:space="preserve">Taxonomy 8</t>
    </r>
    <r>
      <rPr>
        <sz val="10"/>
        <rFont val="Noto Sans CJK SC"/>
        <family val="2"/>
      </rPr>
      <t xml:space="preserve">종 중 </t>
    </r>
    <r>
      <rPr>
        <sz val="10"/>
        <rFont val="Arial"/>
        <family val="0"/>
        <charset val="1"/>
      </rPr>
      <t xml:space="preserve">REVIEW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68</t>
    </r>
    <r>
      <rPr>
        <sz val="10"/>
        <rFont val="Noto Sans CJK SC"/>
        <family val="2"/>
      </rPr>
      <t xml:space="preserve">건에서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회 사용</t>
    </r>
    <r>
      <rPr>
        <sz val="10"/>
        <rFont val="Arial"/>
        <family val="0"/>
        <charset val="1"/>
      </rPr>
      <t xml:space="preserve">. 17:04·23:01·24:40 </t>
    </r>
    <r>
      <rPr>
        <sz val="10"/>
        <rFont val="Noto Sans CJK SC"/>
        <family val="2"/>
      </rPr>
      <t xml:space="preserve">등 </t>
    </r>
    <r>
      <rPr>
        <sz val="10"/>
        <rFont val="Arial"/>
        <family val="0"/>
        <charset val="1"/>
      </rPr>
      <t xml:space="preserve">REVIEW </t>
    </r>
    <r>
      <rPr>
        <sz val="10"/>
        <rFont val="Noto Sans CJK SC"/>
        <family val="2"/>
      </rPr>
      <t xml:space="preserve">후보 존재</t>
    </r>
  </si>
  <si>
    <r>
      <rPr>
        <sz val="10"/>
        <rFont val="Arial"/>
        <family val="0"/>
        <charset val="1"/>
      </rPr>
      <t xml:space="preserve">REVIEW </t>
    </r>
    <r>
      <rPr>
        <sz val="10"/>
        <rFont val="Noto Sans CJK SC"/>
        <family val="2"/>
      </rPr>
      <t xml:space="preserve">판별 기준이 </t>
    </r>
    <r>
      <rPr>
        <sz val="10"/>
        <rFont val="Arial"/>
        <family val="0"/>
        <charset val="1"/>
      </rPr>
      <t xml:space="preserve">MUST/PRACTICAL</t>
    </r>
    <r>
      <rPr>
        <sz val="10"/>
        <rFont val="Noto Sans CJK SC"/>
        <family val="2"/>
      </rPr>
      <t xml:space="preserve">에 흡수되고 있음 — </t>
    </r>
    <r>
      <rPr>
        <sz val="10"/>
        <rFont val="Arial"/>
        <family val="0"/>
        <charset val="1"/>
      </rPr>
      <t xml:space="preserve">v0.2</t>
    </r>
    <r>
      <rPr>
        <sz val="10"/>
        <rFont val="Noto Sans CJK SC"/>
        <family val="2"/>
      </rPr>
      <t xml:space="preserve">에서 우선순위 규칙 필요</t>
    </r>
  </si>
  <si>
    <t xml:space="preserve">AMBIGUOUS_CONTEXT</t>
  </si>
  <si>
    <r>
      <rPr>
        <sz val="10"/>
        <rFont val="Arial"/>
        <family val="0"/>
        <charset val="1"/>
      </rPr>
      <t xml:space="preserve">MUST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AVOID</t>
    </r>
    <r>
      <rPr>
        <sz val="10"/>
        <rFont val="Noto Sans CJK SC"/>
        <family val="2"/>
      </rPr>
      <t xml:space="preserve">가 같은 발화에서 동시 성립하는 사례 다수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43:16, 1:31:49)</t>
    </r>
  </si>
  <si>
    <r>
      <rPr>
        <sz val="10"/>
        <rFont val="Noto Sans CJK SC"/>
        <family val="2"/>
      </rPr>
      <t xml:space="preserve">다중 라벨 허용 여부를 </t>
    </r>
    <r>
      <rPr>
        <sz val="10"/>
        <rFont val="Arial"/>
        <family val="0"/>
        <charset val="1"/>
      </rPr>
      <t xml:space="preserve">Evaluation Protocol 4</t>
    </r>
    <r>
      <rPr>
        <sz val="10"/>
        <rFont val="Noto Sans CJK SC"/>
        <family val="2"/>
      </rPr>
      <t xml:space="preserve">단계 전에 확정해야 함</t>
    </r>
  </si>
  <si>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2·3</t>
    </r>
    <r>
      <rPr>
        <sz val="10"/>
        <rFont val="Noto Sans CJK SC"/>
        <family val="2"/>
      </rPr>
      <t xml:space="preserve">교시</t>
    </r>
  </si>
  <si>
    <t xml:space="preserve">SCOPE_GAP</t>
  </si>
  <si>
    <r>
      <rPr>
        <sz val="10"/>
        <rFont val="Noto Sans CJK SC"/>
        <family val="2"/>
      </rPr>
      <t xml:space="preserve">업로드된 </t>
    </r>
    <r>
      <rPr>
        <sz val="10"/>
        <rFont val="Arial"/>
        <family val="0"/>
        <charset val="1"/>
      </rPr>
      <t xml:space="preserve">STT 6</t>
    </r>
    <r>
      <rPr>
        <sz val="10"/>
        <rFont val="Noto Sans CJK SC"/>
        <family val="2"/>
      </rPr>
      <t xml:space="preserve">시간 </t>
    </r>
    <r>
      <rPr>
        <sz val="10"/>
        <rFont val="Arial"/>
        <family val="0"/>
        <charset val="1"/>
      </rPr>
      <t xml:space="preserve">07</t>
    </r>
    <r>
      <rPr>
        <sz val="10"/>
        <rFont val="Noto Sans CJK SC"/>
        <family val="2"/>
      </rPr>
      <t xml:space="preserve">분 중 약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시간 </t>
    </r>
    <r>
      <rPr>
        <sz val="10"/>
        <rFont val="Arial"/>
        <family val="0"/>
        <charset val="1"/>
      </rPr>
      <t xml:space="preserve">51</t>
    </r>
    <r>
      <rPr>
        <sz val="10"/>
        <rFont val="Noto Sans CJK SC"/>
        <family val="2"/>
      </rPr>
      <t xml:space="preserve">분 구간이 </t>
    </r>
    <r>
      <rPr>
        <sz val="10"/>
        <rFont val="Arial"/>
        <family val="0"/>
        <charset val="1"/>
      </rPr>
      <t xml:space="preserve">Human </t>
    </r>
    <r>
      <rPr>
        <sz val="10"/>
        <rFont val="Noto Sans CJK SC"/>
        <family val="2"/>
      </rPr>
      <t xml:space="preserve">태깅 범위 밖</t>
    </r>
  </si>
  <si>
    <t xml:space="preserve">분모 정의를 확정해야 밀도 수치가 확정됨</t>
  </si>
  <si>
    <r>
      <rPr>
        <b val="true"/>
        <sz val="13"/>
        <rFont val="Noto Sans CJK SC"/>
        <family val="2"/>
      </rPr>
      <t xml:space="preserve">유형 분포 — </t>
    </r>
    <r>
      <rPr>
        <b val="true"/>
        <sz val="13"/>
        <rFont val="Arial"/>
        <family val="0"/>
        <charset val="1"/>
      </rPr>
      <t xml:space="preserve">Human vs AI</t>
    </r>
  </si>
  <si>
    <r>
      <rPr>
        <b val="true"/>
        <sz val="10"/>
        <color rgb="FFFFFFFF"/>
        <rFont val="Arial"/>
        <family val="0"/>
        <charset val="1"/>
      </rPr>
      <t xml:space="preserve">Human 68</t>
    </r>
    <r>
      <rPr>
        <b val="true"/>
        <sz val="10"/>
        <color rgb="FFFFFFFF"/>
        <rFont val="Noto Sans CJK SC"/>
        <family val="2"/>
      </rPr>
      <t xml:space="preserve">건</t>
    </r>
  </si>
  <si>
    <r>
      <rPr>
        <b val="true"/>
        <sz val="10"/>
        <color rgb="FFFFFFFF"/>
        <rFont val="Arial"/>
        <family val="0"/>
        <charset val="1"/>
      </rPr>
      <t xml:space="preserve">AI </t>
    </r>
    <r>
      <rPr>
        <b val="true"/>
        <sz val="10"/>
        <color rgb="FFFFFFFF"/>
        <rFont val="Noto Sans CJK SC"/>
        <family val="2"/>
      </rPr>
      <t xml:space="preserve">재판정</t>
    </r>
  </si>
  <si>
    <r>
      <rPr>
        <b val="true"/>
        <sz val="10"/>
        <color rgb="FFFFFFFF"/>
        <rFont val="Arial"/>
        <family val="0"/>
        <charset val="1"/>
      </rPr>
      <t xml:space="preserve">AI </t>
    </r>
    <r>
      <rPr>
        <b val="true"/>
        <sz val="10"/>
        <color rgb="FFFFFFFF"/>
        <rFont val="Noto Sans CJK SC"/>
        <family val="2"/>
      </rPr>
      <t xml:space="preserve">신규</t>
    </r>
  </si>
  <si>
    <t xml:space="preserve">미검토 구간</t>
  </si>
  <si>
    <t xml:space="preserve">주목</t>
  </si>
  <si>
    <r>
      <rPr>
        <sz val="10"/>
        <rFont val="Arial"/>
        <family val="0"/>
        <charset val="1"/>
      </rPr>
      <t xml:space="preserve">REVIEW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Human 68</t>
    </r>
    <r>
      <rPr>
        <sz val="10"/>
        <rFont val="Noto Sans CJK SC"/>
        <family val="2"/>
      </rPr>
      <t xml:space="preserve">건에서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회 사용됐으나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재판정에서는 후보가 나옴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판별 기준이 </t>
    </r>
    <r>
      <rPr>
        <sz val="10"/>
        <rFont val="Arial"/>
        <family val="0"/>
        <charset val="1"/>
      </rPr>
      <t xml:space="preserve">MUST/PRACTICAL</t>
    </r>
    <r>
      <rPr>
        <sz val="10"/>
        <rFont val="Noto Sans CJK SC"/>
        <family val="2"/>
      </rPr>
      <t xml:space="preserve">에 흡수되고 있다는 신호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</si>
</sst>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i val="true"/>
      <sz val="10"/>
      <name val="Arial"/>
      <family val="0"/>
      <charset val="1"/>
    </font>
    <font>
      <i val="true"/>
      <sz val="10"/>
      <name val="Noto Sans CJK SC"/>
      <family val="2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62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6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6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  <c r="C6" s="6" t="s">
        <v>8</v>
      </c>
    </row>
    <row r="7" customFormat="false" ht="15" hidden="false" customHeight="false" outlineLevel="0" collapsed="false">
      <c r="A7" s="4" t="s">
        <v>9</v>
      </c>
      <c r="B7" s="7" t="s">
        <v>10</v>
      </c>
      <c r="C7" s="8" t="s">
        <v>11</v>
      </c>
    </row>
    <row r="9" customFormat="false" ht="20.1" hidden="false" customHeight="false" outlineLevel="0" collapsed="false">
      <c r="A9" s="1" t="s">
        <v>12</v>
      </c>
    </row>
    <row r="10" customFormat="false" ht="15" hidden="false" customHeight="false" outlineLevel="0" collapsed="false">
      <c r="A10" s="4" t="s">
        <v>13</v>
      </c>
      <c r="B10" s="5" t="n">
        <f aca="false">COUNTIF(Comparison!F:F,"MATCH")</f>
        <v>50</v>
      </c>
      <c r="C10" s="6" t="s">
        <v>14</v>
      </c>
    </row>
    <row r="11" customFormat="false" ht="15" hidden="false" customHeight="false" outlineLevel="0" collapsed="false">
      <c r="A11" s="4" t="s">
        <v>15</v>
      </c>
      <c r="B11" s="5" t="n">
        <f aca="false">COUNTIF(Comparison!F:F,"TYPE_DIFF")</f>
        <v>13</v>
      </c>
      <c r="C11" s="6" t="s">
        <v>16</v>
      </c>
    </row>
    <row r="12" customFormat="false" ht="15" hidden="false" customHeight="false" outlineLevel="0" collapsed="false">
      <c r="A12" s="4" t="s">
        <v>17</v>
      </c>
      <c r="B12" s="5" t="n">
        <f aca="false">COUNTIF(Comparison!F:F,"FP_SUSPECT")</f>
        <v>5</v>
      </c>
      <c r="C12" s="6" t="s">
        <v>18</v>
      </c>
    </row>
    <row r="13" customFormat="false" ht="15" hidden="false" customHeight="false" outlineLevel="0" collapsed="false">
      <c r="A13" s="9" t="s">
        <v>19</v>
      </c>
      <c r="B13" s="5" t="n">
        <f aca="false">ROUND((COUNTIF(Comparison!F:F,"MATCH")+COUNTIF(Comparison!F:F,"TYPE_DIFF"))/COUNTA(Comparison!A2:A69)*100,1)</f>
        <v>92.6</v>
      </c>
      <c r="C13" s="6" t="s">
        <v>20</v>
      </c>
    </row>
    <row r="14" customFormat="false" ht="15" hidden="false" customHeight="false" outlineLevel="0" collapsed="false">
      <c r="A14" s="4" t="s">
        <v>21</v>
      </c>
      <c r="B14" s="5" t="n">
        <f aca="false">ROUND(COUNTIF(Comparison!F:F,"MATCH")/COUNTA(Comparison!A2:A69)*100,1)</f>
        <v>73.5</v>
      </c>
      <c r="C14" s="6" t="s">
        <v>22</v>
      </c>
    </row>
    <row r="16" customFormat="false" ht="20.1" hidden="false" customHeight="false" outlineLevel="0" collapsed="false">
      <c r="A16" s="1" t="s">
        <v>23</v>
      </c>
    </row>
    <row r="17" customFormat="false" ht="15" hidden="false" customHeight="false" outlineLevel="0" collapsed="false">
      <c r="A17" s="9" t="s">
        <v>24</v>
      </c>
      <c r="B17" s="5" t="n">
        <f aca="false">COUNTA('AI New Findings'!A2:A28)</f>
        <v>27</v>
      </c>
      <c r="C17" s="8" t="s">
        <v>25</v>
      </c>
    </row>
    <row r="18" customFormat="false" ht="15" hidden="false" customHeight="false" outlineLevel="0" collapsed="false">
      <c r="A18" s="9" t="s">
        <v>26</v>
      </c>
      <c r="B18" s="5" t="n">
        <f aca="false">COUNTA('Uncovered Sessions'!A2:A17)</f>
        <v>16</v>
      </c>
      <c r="C18" s="6" t="s">
        <v>27</v>
      </c>
    </row>
    <row r="19" customFormat="false" ht="15" hidden="false" customHeight="false" outlineLevel="0" collapsed="false">
      <c r="A19" s="4" t="s">
        <v>28</v>
      </c>
      <c r="B19" s="5" t="n">
        <f aca="false">COUNTA('AI New Findings'!A2:A28)+COUNTA('Uncovered Sessions'!A2:A17)</f>
        <v>43</v>
      </c>
      <c r="C19" s="6"/>
    </row>
    <row r="21" customFormat="false" ht="20.1" hidden="false" customHeight="false" outlineLevel="0" collapsed="false">
      <c r="A21" s="3" t="s">
        <v>29</v>
      </c>
    </row>
    <row r="22" customFormat="false" ht="15" hidden="false" customHeight="false" outlineLevel="0" collapsed="false">
      <c r="A22" s="10" t="s">
        <v>30</v>
      </c>
      <c r="B22" s="10" t="s">
        <v>31</v>
      </c>
      <c r="C22" s="10" t="s">
        <v>32</v>
      </c>
    </row>
    <row r="23" customFormat="false" ht="15" hidden="false" customHeight="false" outlineLevel="0" collapsed="false">
      <c r="A23" s="11" t="s">
        <v>33</v>
      </c>
      <c r="B23" s="11" t="n">
        <f aca="false">ROUND(68/3.7167,1)</f>
        <v>18.3</v>
      </c>
      <c r="C23" s="6" t="s">
        <v>34</v>
      </c>
    </row>
    <row r="24" customFormat="false" ht="15" hidden="false" customHeight="false" outlineLevel="0" collapsed="false">
      <c r="A24" s="11" t="s">
        <v>35</v>
      </c>
      <c r="B24" s="11" t="n">
        <f aca="false">ROUND(68/3.2667,1)</f>
        <v>20.8</v>
      </c>
      <c r="C24" s="6" t="s">
        <v>36</v>
      </c>
    </row>
    <row r="25" customFormat="false" ht="15" hidden="false" customHeight="false" outlineLevel="0" collapsed="false">
      <c r="A25" s="11" t="s">
        <v>37</v>
      </c>
      <c r="B25" s="11" t="n">
        <f aca="false">ROUND(68/6.1167,1)</f>
        <v>11.1</v>
      </c>
      <c r="C25" s="6" t="s">
        <v>38</v>
      </c>
    </row>
    <row r="26" customFormat="false" ht="15" hidden="false" customHeight="false" outlineLevel="0" collapsed="false">
      <c r="A26" s="12" t="s">
        <v>39</v>
      </c>
      <c r="B26" s="12" t="n">
        <f aca="false">ROUND((68+COUNTA('AI New Findings'!A2:A28)+COUNTA('Uncovered Sessions'!A2:A17))/6.1167,1)</f>
        <v>18.1</v>
      </c>
      <c r="C26" s="8" t="s">
        <v>40</v>
      </c>
    </row>
    <row r="28" customFormat="false" ht="16.15" hidden="false" customHeight="false" outlineLevel="0" collapsed="false">
      <c r="A28" s="3" t="s">
        <v>41</v>
      </c>
    </row>
    <row r="29" customFormat="false" ht="15" hidden="false" customHeight="false" outlineLevel="0" collapsed="false">
      <c r="A29" s="9" t="s">
        <v>42</v>
      </c>
      <c r="B29" s="7" t="s">
        <v>43</v>
      </c>
      <c r="C29" s="6" t="s">
        <v>44</v>
      </c>
    </row>
    <row r="30" customFormat="false" ht="15" hidden="false" customHeight="false" outlineLevel="0" collapsed="false">
      <c r="A30" s="4" t="s">
        <v>45</v>
      </c>
      <c r="B30" s="7" t="s">
        <v>46</v>
      </c>
      <c r="C30" s="8" t="s">
        <v>47</v>
      </c>
    </row>
    <row r="31" customFormat="false" ht="15" hidden="false" customHeight="false" outlineLevel="0" collapsed="false">
      <c r="A31" s="4" t="s">
        <v>48</v>
      </c>
      <c r="B31" s="5" t="n">
        <f aca="false">ROUND(68/6.1167/2,1)</f>
        <v>5.6</v>
      </c>
      <c r="C31" s="8" t="s">
        <v>49</v>
      </c>
    </row>
    <row r="32" customFormat="false" ht="15" hidden="false" customHeight="false" outlineLevel="0" collapsed="false">
      <c r="A32" s="4" t="s">
        <v>50</v>
      </c>
      <c r="B32" s="5" t="n">
        <f aca="false">ROUND(2*6.1167,0)</f>
        <v>12</v>
      </c>
      <c r="C32" s="6" t="s">
        <v>51</v>
      </c>
    </row>
    <row r="34" customFormat="false" ht="16.15" hidden="false" customHeight="false" outlineLevel="0" collapsed="false">
      <c r="A34" s="3" t="s">
        <v>52</v>
      </c>
    </row>
    <row r="35" customFormat="false" ht="15" hidden="false" customHeight="true" outlineLevel="0" collapsed="false">
      <c r="A35" s="12" t="s">
        <v>53</v>
      </c>
      <c r="B35" s="13" t="s">
        <v>54</v>
      </c>
      <c r="C35" s="13"/>
    </row>
    <row r="36" customFormat="false" ht="15" hidden="false" customHeight="true" outlineLevel="0" collapsed="false">
      <c r="A36" s="12" t="s">
        <v>53</v>
      </c>
      <c r="B36" s="13" t="s">
        <v>55</v>
      </c>
      <c r="C36" s="13"/>
    </row>
    <row r="37" customFormat="false" ht="15" hidden="false" customHeight="true" outlineLevel="0" collapsed="false">
      <c r="A37" s="12" t="s">
        <v>53</v>
      </c>
      <c r="B37" s="14" t="s">
        <v>56</v>
      </c>
      <c r="C37" s="14"/>
    </row>
    <row r="38" customFormat="false" ht="15" hidden="false" customHeight="true" outlineLevel="0" collapsed="false">
      <c r="A38" s="12" t="s">
        <v>53</v>
      </c>
      <c r="B38" s="13" t="s">
        <v>57</v>
      </c>
      <c r="C38" s="13"/>
    </row>
    <row r="39" customFormat="false" ht="15" hidden="false" customHeight="true" outlineLevel="0" collapsed="false">
      <c r="A39" s="12" t="s">
        <v>53</v>
      </c>
      <c r="B39" s="13" t="s">
        <v>58</v>
      </c>
      <c r="C39" s="13"/>
    </row>
  </sheetData>
  <mergeCells count="5">
    <mergeCell ref="B35:C35"/>
    <mergeCell ref="B36:C36"/>
    <mergeCell ref="B37:C37"/>
    <mergeCell ref="B38:C38"/>
    <mergeCell ref="B39:C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6" min="4" style="0" width="13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15" t="s">
        <v>59</v>
      </c>
      <c r="B1" s="16" t="s">
        <v>60</v>
      </c>
      <c r="C1" s="16" t="s">
        <v>61</v>
      </c>
      <c r="D1" s="15" t="s">
        <v>62</v>
      </c>
      <c r="E1" s="15" t="s">
        <v>63</v>
      </c>
      <c r="F1" s="16" t="s">
        <v>45</v>
      </c>
      <c r="G1" s="15" t="s">
        <v>64</v>
      </c>
    </row>
    <row r="2" customFormat="false" ht="15" hidden="false" customHeight="false" outlineLevel="0" collapsed="false">
      <c r="A2" s="17" t="n">
        <v>1</v>
      </c>
      <c r="B2" s="17" t="s">
        <v>65</v>
      </c>
      <c r="C2" s="17" t="s">
        <v>66</v>
      </c>
      <c r="D2" s="17" t="s">
        <v>67</v>
      </c>
      <c r="E2" s="17" t="s">
        <v>68</v>
      </c>
      <c r="F2" s="18" t="s">
        <v>69</v>
      </c>
      <c r="G2" s="19" t="s">
        <v>70</v>
      </c>
    </row>
    <row r="3" customFormat="false" ht="15" hidden="false" customHeight="false" outlineLevel="0" collapsed="false">
      <c r="A3" s="17" t="n">
        <v>2</v>
      </c>
      <c r="B3" s="17" t="s">
        <v>65</v>
      </c>
      <c r="C3" s="17" t="s">
        <v>71</v>
      </c>
      <c r="D3" s="17" t="s">
        <v>72</v>
      </c>
      <c r="E3" s="17" t="s">
        <v>73</v>
      </c>
      <c r="F3" s="20" t="s">
        <v>74</v>
      </c>
      <c r="G3" s="21" t="s">
        <v>75</v>
      </c>
    </row>
    <row r="4" customFormat="false" ht="15" hidden="false" customHeight="false" outlineLevel="0" collapsed="false">
      <c r="A4" s="17" t="n">
        <v>3</v>
      </c>
      <c r="B4" s="17" t="s">
        <v>65</v>
      </c>
      <c r="C4" s="17" t="s">
        <v>76</v>
      </c>
      <c r="D4" s="17" t="s">
        <v>67</v>
      </c>
      <c r="E4" s="17" t="s">
        <v>67</v>
      </c>
      <c r="F4" s="18" t="s">
        <v>69</v>
      </c>
      <c r="G4" s="19" t="s">
        <v>77</v>
      </c>
    </row>
    <row r="5" customFormat="false" ht="15" hidden="false" customHeight="false" outlineLevel="0" collapsed="false">
      <c r="A5" s="17" t="n">
        <v>4</v>
      </c>
      <c r="B5" s="17" t="s">
        <v>65</v>
      </c>
      <c r="C5" s="17" t="s">
        <v>78</v>
      </c>
      <c r="D5" s="17" t="s">
        <v>68</v>
      </c>
      <c r="E5" s="17" t="s">
        <v>68</v>
      </c>
      <c r="F5" s="18" t="s">
        <v>69</v>
      </c>
      <c r="G5" s="21" t="s">
        <v>79</v>
      </c>
    </row>
    <row r="6" customFormat="false" ht="15" hidden="false" customHeight="false" outlineLevel="0" collapsed="false">
      <c r="A6" s="17" t="n">
        <v>5</v>
      </c>
      <c r="B6" s="17" t="s">
        <v>65</v>
      </c>
      <c r="C6" s="17" t="s">
        <v>80</v>
      </c>
      <c r="D6" s="17" t="s">
        <v>81</v>
      </c>
      <c r="E6" s="17" t="s">
        <v>68</v>
      </c>
      <c r="F6" s="20" t="s">
        <v>74</v>
      </c>
      <c r="G6" s="21" t="s">
        <v>82</v>
      </c>
    </row>
    <row r="7" customFormat="false" ht="15" hidden="false" customHeight="false" outlineLevel="0" collapsed="false">
      <c r="A7" s="17" t="n">
        <v>6</v>
      </c>
      <c r="B7" s="17" t="s">
        <v>65</v>
      </c>
      <c r="C7" s="17" t="s">
        <v>83</v>
      </c>
      <c r="D7" s="17" t="s">
        <v>72</v>
      </c>
      <c r="E7" s="17" t="s">
        <v>72</v>
      </c>
      <c r="F7" s="18" t="s">
        <v>69</v>
      </c>
      <c r="G7" s="21" t="s">
        <v>84</v>
      </c>
    </row>
    <row r="8" customFormat="false" ht="15" hidden="false" customHeight="false" outlineLevel="0" collapsed="false">
      <c r="A8" s="17" t="n">
        <v>7</v>
      </c>
      <c r="B8" s="17" t="s">
        <v>65</v>
      </c>
      <c r="C8" s="17" t="s">
        <v>85</v>
      </c>
      <c r="D8" s="17" t="s">
        <v>72</v>
      </c>
      <c r="E8" s="17" t="s">
        <v>72</v>
      </c>
      <c r="F8" s="18" t="s">
        <v>69</v>
      </c>
      <c r="G8" s="21" t="s">
        <v>86</v>
      </c>
    </row>
    <row r="9" customFormat="false" ht="15" hidden="false" customHeight="false" outlineLevel="0" collapsed="false">
      <c r="A9" s="17" t="n">
        <v>8</v>
      </c>
      <c r="B9" s="17" t="s">
        <v>65</v>
      </c>
      <c r="C9" s="17" t="s">
        <v>87</v>
      </c>
      <c r="D9" s="17" t="s">
        <v>88</v>
      </c>
      <c r="E9" s="17" t="s">
        <v>88</v>
      </c>
      <c r="F9" s="18" t="s">
        <v>69</v>
      </c>
      <c r="G9" s="19" t="s">
        <v>89</v>
      </c>
    </row>
    <row r="10" customFormat="false" ht="15" hidden="false" customHeight="false" outlineLevel="0" collapsed="false">
      <c r="A10" s="17" t="n">
        <v>9</v>
      </c>
      <c r="B10" s="17" t="s">
        <v>65</v>
      </c>
      <c r="C10" s="17" t="s">
        <v>90</v>
      </c>
      <c r="D10" s="17" t="s">
        <v>68</v>
      </c>
      <c r="E10" s="17" t="s">
        <v>91</v>
      </c>
      <c r="F10" s="20" t="s">
        <v>74</v>
      </c>
      <c r="G10" s="21" t="s">
        <v>92</v>
      </c>
    </row>
    <row r="11" customFormat="false" ht="15" hidden="false" customHeight="false" outlineLevel="0" collapsed="false">
      <c r="A11" s="17" t="n">
        <v>10</v>
      </c>
      <c r="B11" s="17" t="s">
        <v>65</v>
      </c>
      <c r="C11" s="17" t="s">
        <v>93</v>
      </c>
      <c r="D11" s="17" t="s">
        <v>88</v>
      </c>
      <c r="E11" s="17" t="s">
        <v>88</v>
      </c>
      <c r="F11" s="18" t="s">
        <v>69</v>
      </c>
      <c r="G11" s="19" t="s">
        <v>94</v>
      </c>
    </row>
    <row r="12" customFormat="false" ht="15" hidden="false" customHeight="false" outlineLevel="0" collapsed="false">
      <c r="A12" s="17" t="n">
        <v>11</v>
      </c>
      <c r="B12" s="17" t="s">
        <v>65</v>
      </c>
      <c r="C12" s="17" t="s">
        <v>95</v>
      </c>
      <c r="D12" s="17" t="s">
        <v>96</v>
      </c>
      <c r="E12" s="17" t="s">
        <v>97</v>
      </c>
      <c r="F12" s="22" t="s">
        <v>98</v>
      </c>
      <c r="G12" s="19" t="s">
        <v>99</v>
      </c>
    </row>
    <row r="13" customFormat="false" ht="15" hidden="false" customHeight="false" outlineLevel="0" collapsed="false">
      <c r="A13" s="17" t="n">
        <v>12</v>
      </c>
      <c r="B13" s="17" t="s">
        <v>65</v>
      </c>
      <c r="C13" s="17" t="s">
        <v>100</v>
      </c>
      <c r="D13" s="17" t="s">
        <v>88</v>
      </c>
      <c r="E13" s="17" t="s">
        <v>88</v>
      </c>
      <c r="F13" s="18" t="s">
        <v>69</v>
      </c>
      <c r="G13" s="19" t="s">
        <v>101</v>
      </c>
    </row>
    <row r="14" customFormat="false" ht="15" hidden="false" customHeight="false" outlineLevel="0" collapsed="false">
      <c r="A14" s="17" t="n">
        <v>13</v>
      </c>
      <c r="B14" s="17" t="s">
        <v>65</v>
      </c>
      <c r="C14" s="17" t="s">
        <v>102</v>
      </c>
      <c r="D14" s="17" t="s">
        <v>96</v>
      </c>
      <c r="E14" s="17" t="s">
        <v>91</v>
      </c>
      <c r="F14" s="20" t="s">
        <v>74</v>
      </c>
      <c r="G14" s="19" t="s">
        <v>103</v>
      </c>
    </row>
    <row r="15" customFormat="false" ht="15" hidden="false" customHeight="false" outlineLevel="0" collapsed="false">
      <c r="A15" s="17" t="n">
        <v>14</v>
      </c>
      <c r="B15" s="17" t="s">
        <v>65</v>
      </c>
      <c r="C15" s="17" t="s">
        <v>104</v>
      </c>
      <c r="D15" s="17" t="s">
        <v>72</v>
      </c>
      <c r="E15" s="17" t="s">
        <v>72</v>
      </c>
      <c r="F15" s="18" t="s">
        <v>69</v>
      </c>
      <c r="G15" s="21" t="s">
        <v>105</v>
      </c>
    </row>
    <row r="16" customFormat="false" ht="15" hidden="false" customHeight="false" outlineLevel="0" collapsed="false">
      <c r="A16" s="17" t="n">
        <v>15</v>
      </c>
      <c r="B16" s="17" t="s">
        <v>65</v>
      </c>
      <c r="C16" s="17" t="s">
        <v>106</v>
      </c>
      <c r="D16" s="17" t="s">
        <v>81</v>
      </c>
      <c r="E16" s="17" t="s">
        <v>81</v>
      </c>
      <c r="F16" s="18" t="s">
        <v>69</v>
      </c>
      <c r="G16" s="21" t="s">
        <v>107</v>
      </c>
    </row>
    <row r="17" customFormat="false" ht="15" hidden="false" customHeight="false" outlineLevel="0" collapsed="false">
      <c r="A17" s="17" t="n">
        <v>16</v>
      </c>
      <c r="B17" s="17" t="s">
        <v>65</v>
      </c>
      <c r="C17" s="17" t="s">
        <v>108</v>
      </c>
      <c r="D17" s="17" t="s">
        <v>68</v>
      </c>
      <c r="E17" s="17" t="s">
        <v>97</v>
      </c>
      <c r="F17" s="22" t="s">
        <v>98</v>
      </c>
      <c r="G17" s="19" t="s">
        <v>109</v>
      </c>
    </row>
    <row r="18" customFormat="false" ht="15" hidden="false" customHeight="false" outlineLevel="0" collapsed="false">
      <c r="A18" s="17" t="n">
        <v>17</v>
      </c>
      <c r="B18" s="17" t="s">
        <v>65</v>
      </c>
      <c r="C18" s="17" t="s">
        <v>110</v>
      </c>
      <c r="D18" s="17" t="s">
        <v>81</v>
      </c>
      <c r="E18" s="17" t="s">
        <v>81</v>
      </c>
      <c r="F18" s="18" t="s">
        <v>69</v>
      </c>
      <c r="G18" s="19" t="s">
        <v>111</v>
      </c>
    </row>
    <row r="19" customFormat="false" ht="15" hidden="false" customHeight="false" outlineLevel="0" collapsed="false">
      <c r="A19" s="17" t="n">
        <v>18</v>
      </c>
      <c r="B19" s="17" t="s">
        <v>65</v>
      </c>
      <c r="C19" s="17" t="s">
        <v>112</v>
      </c>
      <c r="D19" s="17" t="s">
        <v>72</v>
      </c>
      <c r="E19" s="17" t="s">
        <v>72</v>
      </c>
      <c r="F19" s="18" t="s">
        <v>69</v>
      </c>
      <c r="G19" s="21" t="s">
        <v>113</v>
      </c>
    </row>
    <row r="20" customFormat="false" ht="15" hidden="false" customHeight="false" outlineLevel="0" collapsed="false">
      <c r="A20" s="17" t="n">
        <v>19</v>
      </c>
      <c r="B20" s="17" t="s">
        <v>65</v>
      </c>
      <c r="C20" s="17" t="s">
        <v>114</v>
      </c>
      <c r="D20" s="17" t="s">
        <v>96</v>
      </c>
      <c r="E20" s="17" t="s">
        <v>68</v>
      </c>
      <c r="F20" s="20" t="s">
        <v>74</v>
      </c>
      <c r="G20" s="21" t="s">
        <v>115</v>
      </c>
    </row>
    <row r="21" customFormat="false" ht="15" hidden="false" customHeight="false" outlineLevel="0" collapsed="false">
      <c r="A21" s="17" t="n">
        <v>20</v>
      </c>
      <c r="B21" s="17" t="s">
        <v>65</v>
      </c>
      <c r="C21" s="17" t="s">
        <v>116</v>
      </c>
      <c r="D21" s="17" t="s">
        <v>81</v>
      </c>
      <c r="E21" s="17" t="s">
        <v>81</v>
      </c>
      <c r="F21" s="18" t="s">
        <v>69</v>
      </c>
      <c r="G21" s="19" t="s">
        <v>117</v>
      </c>
    </row>
    <row r="22" customFormat="false" ht="15" hidden="false" customHeight="false" outlineLevel="0" collapsed="false">
      <c r="A22" s="17" t="n">
        <v>21</v>
      </c>
      <c r="B22" s="17" t="s">
        <v>65</v>
      </c>
      <c r="C22" s="17" t="s">
        <v>118</v>
      </c>
      <c r="D22" s="17" t="s">
        <v>68</v>
      </c>
      <c r="E22" s="17" t="s">
        <v>68</v>
      </c>
      <c r="F22" s="18" t="s">
        <v>69</v>
      </c>
      <c r="G22" s="21" t="s">
        <v>119</v>
      </c>
    </row>
    <row r="23" customFormat="false" ht="15" hidden="false" customHeight="false" outlineLevel="0" collapsed="false">
      <c r="A23" s="17" t="n">
        <v>22</v>
      </c>
      <c r="B23" s="17" t="s">
        <v>65</v>
      </c>
      <c r="C23" s="17" t="s">
        <v>120</v>
      </c>
      <c r="D23" s="17" t="s">
        <v>96</v>
      </c>
      <c r="E23" s="17" t="s">
        <v>96</v>
      </c>
      <c r="F23" s="18" t="s">
        <v>69</v>
      </c>
      <c r="G23" s="21" t="s">
        <v>121</v>
      </c>
    </row>
    <row r="24" customFormat="false" ht="15" hidden="false" customHeight="false" outlineLevel="0" collapsed="false">
      <c r="A24" s="17" t="n">
        <v>23</v>
      </c>
      <c r="B24" s="17" t="s">
        <v>65</v>
      </c>
      <c r="C24" s="17" t="s">
        <v>122</v>
      </c>
      <c r="D24" s="17" t="s">
        <v>88</v>
      </c>
      <c r="E24" s="17" t="s">
        <v>88</v>
      </c>
      <c r="F24" s="18" t="s">
        <v>69</v>
      </c>
      <c r="G24" s="19" t="s">
        <v>123</v>
      </c>
    </row>
    <row r="25" customFormat="false" ht="15" hidden="false" customHeight="false" outlineLevel="0" collapsed="false">
      <c r="A25" s="17" t="n">
        <v>24</v>
      </c>
      <c r="B25" s="17" t="s">
        <v>65</v>
      </c>
      <c r="C25" s="17" t="s">
        <v>124</v>
      </c>
      <c r="D25" s="17" t="s">
        <v>96</v>
      </c>
      <c r="E25" s="17" t="s">
        <v>96</v>
      </c>
      <c r="F25" s="18" t="s">
        <v>69</v>
      </c>
      <c r="G25" s="21" t="s">
        <v>125</v>
      </c>
    </row>
    <row r="26" customFormat="false" ht="15" hidden="false" customHeight="false" outlineLevel="0" collapsed="false">
      <c r="A26" s="17" t="n">
        <v>25</v>
      </c>
      <c r="B26" s="17" t="s">
        <v>65</v>
      </c>
      <c r="C26" s="17" t="s">
        <v>126</v>
      </c>
      <c r="D26" s="17" t="s">
        <v>88</v>
      </c>
      <c r="E26" s="17" t="s">
        <v>88</v>
      </c>
      <c r="F26" s="18" t="s">
        <v>69</v>
      </c>
      <c r="G26" s="21" t="s">
        <v>127</v>
      </c>
    </row>
    <row r="27" customFormat="false" ht="15" hidden="false" customHeight="false" outlineLevel="0" collapsed="false">
      <c r="A27" s="17" t="n">
        <v>26</v>
      </c>
      <c r="B27" s="17" t="s">
        <v>65</v>
      </c>
      <c r="C27" s="17" t="s">
        <v>128</v>
      </c>
      <c r="D27" s="17" t="s">
        <v>88</v>
      </c>
      <c r="E27" s="17" t="s">
        <v>88</v>
      </c>
      <c r="F27" s="18" t="s">
        <v>69</v>
      </c>
      <c r="G27" s="19" t="s">
        <v>129</v>
      </c>
    </row>
    <row r="28" customFormat="false" ht="15" hidden="false" customHeight="false" outlineLevel="0" collapsed="false">
      <c r="A28" s="17" t="n">
        <v>27</v>
      </c>
      <c r="B28" s="17" t="s">
        <v>65</v>
      </c>
      <c r="C28" s="17" t="s">
        <v>130</v>
      </c>
      <c r="D28" s="17" t="s">
        <v>68</v>
      </c>
      <c r="E28" s="17" t="s">
        <v>68</v>
      </c>
      <c r="F28" s="18" t="s">
        <v>69</v>
      </c>
      <c r="G28" s="19" t="s">
        <v>131</v>
      </c>
    </row>
    <row r="29" customFormat="false" ht="15" hidden="false" customHeight="false" outlineLevel="0" collapsed="false">
      <c r="A29" s="17" t="n">
        <v>28</v>
      </c>
      <c r="B29" s="17" t="s">
        <v>65</v>
      </c>
      <c r="C29" s="17" t="s">
        <v>132</v>
      </c>
      <c r="D29" s="17" t="s">
        <v>96</v>
      </c>
      <c r="E29" s="17" t="s">
        <v>88</v>
      </c>
      <c r="F29" s="20" t="s">
        <v>74</v>
      </c>
      <c r="G29" s="21" t="s">
        <v>133</v>
      </c>
    </row>
    <row r="30" customFormat="false" ht="15" hidden="false" customHeight="false" outlineLevel="0" collapsed="false">
      <c r="A30" s="17" t="n">
        <v>29</v>
      </c>
      <c r="B30" s="17" t="s">
        <v>65</v>
      </c>
      <c r="C30" s="17" t="s">
        <v>134</v>
      </c>
      <c r="D30" s="17" t="s">
        <v>73</v>
      </c>
      <c r="E30" s="17" t="s">
        <v>73</v>
      </c>
      <c r="F30" s="18" t="s">
        <v>69</v>
      </c>
      <c r="G30" s="19" t="s">
        <v>135</v>
      </c>
    </row>
    <row r="31" customFormat="false" ht="15" hidden="false" customHeight="false" outlineLevel="0" collapsed="false">
      <c r="A31" s="17" t="n">
        <v>30</v>
      </c>
      <c r="B31" s="17" t="s">
        <v>65</v>
      </c>
      <c r="C31" s="17" t="s">
        <v>136</v>
      </c>
      <c r="D31" s="17" t="s">
        <v>68</v>
      </c>
      <c r="E31" s="17" t="s">
        <v>68</v>
      </c>
      <c r="F31" s="18" t="s">
        <v>69</v>
      </c>
      <c r="G31" s="19" t="s">
        <v>137</v>
      </c>
    </row>
    <row r="32" customFormat="false" ht="15" hidden="false" customHeight="false" outlineLevel="0" collapsed="false">
      <c r="A32" s="17" t="n">
        <v>31</v>
      </c>
      <c r="B32" s="17" t="s">
        <v>65</v>
      </c>
      <c r="C32" s="17" t="s">
        <v>138</v>
      </c>
      <c r="D32" s="17" t="s">
        <v>96</v>
      </c>
      <c r="E32" s="17" t="s">
        <v>96</v>
      </c>
      <c r="F32" s="18" t="s">
        <v>69</v>
      </c>
      <c r="G32" s="21" t="s">
        <v>139</v>
      </c>
    </row>
    <row r="33" customFormat="false" ht="15" hidden="false" customHeight="false" outlineLevel="0" collapsed="false">
      <c r="A33" s="17" t="n">
        <v>32</v>
      </c>
      <c r="B33" s="17" t="s">
        <v>65</v>
      </c>
      <c r="C33" s="17" t="s">
        <v>140</v>
      </c>
      <c r="D33" s="17" t="s">
        <v>72</v>
      </c>
      <c r="E33" s="17" t="s">
        <v>72</v>
      </c>
      <c r="F33" s="18" t="s">
        <v>69</v>
      </c>
      <c r="G33" s="19" t="s">
        <v>141</v>
      </c>
    </row>
    <row r="34" customFormat="false" ht="15" hidden="false" customHeight="false" outlineLevel="0" collapsed="false">
      <c r="A34" s="17" t="n">
        <v>33</v>
      </c>
      <c r="B34" s="17" t="s">
        <v>65</v>
      </c>
      <c r="C34" s="17" t="s">
        <v>142</v>
      </c>
      <c r="D34" s="17" t="s">
        <v>72</v>
      </c>
      <c r="E34" s="17" t="s">
        <v>72</v>
      </c>
      <c r="F34" s="18" t="s">
        <v>69</v>
      </c>
      <c r="G34" s="19" t="s">
        <v>143</v>
      </c>
    </row>
    <row r="35" customFormat="false" ht="15" hidden="false" customHeight="false" outlineLevel="0" collapsed="false">
      <c r="A35" s="17" t="n">
        <v>34</v>
      </c>
      <c r="B35" s="17" t="s">
        <v>65</v>
      </c>
      <c r="C35" s="17" t="s">
        <v>144</v>
      </c>
      <c r="D35" s="17" t="s">
        <v>68</v>
      </c>
      <c r="E35" s="17" t="s">
        <v>68</v>
      </c>
      <c r="F35" s="18" t="s">
        <v>69</v>
      </c>
      <c r="G35" s="21" t="s">
        <v>145</v>
      </c>
    </row>
    <row r="36" customFormat="false" ht="15" hidden="false" customHeight="false" outlineLevel="0" collapsed="false">
      <c r="A36" s="17" t="n">
        <v>35</v>
      </c>
      <c r="B36" s="17" t="s">
        <v>65</v>
      </c>
      <c r="C36" s="17" t="s">
        <v>146</v>
      </c>
      <c r="D36" s="17" t="s">
        <v>81</v>
      </c>
      <c r="E36" s="17" t="s">
        <v>81</v>
      </c>
      <c r="F36" s="18" t="s">
        <v>69</v>
      </c>
      <c r="G36" s="19" t="s">
        <v>147</v>
      </c>
    </row>
    <row r="37" customFormat="false" ht="15" hidden="false" customHeight="false" outlineLevel="0" collapsed="false">
      <c r="A37" s="17" t="n">
        <v>36</v>
      </c>
      <c r="B37" s="17" t="s">
        <v>148</v>
      </c>
      <c r="C37" s="17" t="s">
        <v>149</v>
      </c>
      <c r="D37" s="17" t="s">
        <v>81</v>
      </c>
      <c r="E37" s="17" t="s">
        <v>97</v>
      </c>
      <c r="F37" s="22" t="s">
        <v>98</v>
      </c>
      <c r="G37" s="21" t="s">
        <v>150</v>
      </c>
    </row>
    <row r="38" customFormat="false" ht="15" hidden="false" customHeight="false" outlineLevel="0" collapsed="false">
      <c r="A38" s="17" t="n">
        <v>37</v>
      </c>
      <c r="B38" s="17" t="s">
        <v>148</v>
      </c>
      <c r="C38" s="17" t="s">
        <v>151</v>
      </c>
      <c r="D38" s="17" t="s">
        <v>72</v>
      </c>
      <c r="E38" s="17" t="s">
        <v>72</v>
      </c>
      <c r="F38" s="18" t="s">
        <v>69</v>
      </c>
      <c r="G38" s="21" t="s">
        <v>152</v>
      </c>
    </row>
    <row r="39" customFormat="false" ht="15" hidden="false" customHeight="false" outlineLevel="0" collapsed="false">
      <c r="A39" s="17" t="n">
        <v>38</v>
      </c>
      <c r="B39" s="17" t="s">
        <v>148</v>
      </c>
      <c r="C39" s="17" t="s">
        <v>153</v>
      </c>
      <c r="D39" s="17" t="s">
        <v>96</v>
      </c>
      <c r="E39" s="17" t="s">
        <v>68</v>
      </c>
      <c r="F39" s="20" t="s">
        <v>74</v>
      </c>
      <c r="G39" s="21" t="s">
        <v>154</v>
      </c>
    </row>
    <row r="40" customFormat="false" ht="15" hidden="false" customHeight="false" outlineLevel="0" collapsed="false">
      <c r="A40" s="17" t="n">
        <v>39</v>
      </c>
      <c r="B40" s="17" t="s">
        <v>148</v>
      </c>
      <c r="C40" s="17" t="s">
        <v>155</v>
      </c>
      <c r="D40" s="17" t="s">
        <v>72</v>
      </c>
      <c r="E40" s="17" t="s">
        <v>91</v>
      </c>
      <c r="F40" s="20" t="s">
        <v>74</v>
      </c>
      <c r="G40" s="19" t="s">
        <v>156</v>
      </c>
    </row>
    <row r="41" customFormat="false" ht="15" hidden="false" customHeight="false" outlineLevel="0" collapsed="false">
      <c r="A41" s="17" t="n">
        <v>40</v>
      </c>
      <c r="B41" s="17" t="s">
        <v>148</v>
      </c>
      <c r="C41" s="17" t="s">
        <v>157</v>
      </c>
      <c r="D41" s="17" t="s">
        <v>68</v>
      </c>
      <c r="E41" s="17" t="s">
        <v>68</v>
      </c>
      <c r="F41" s="18" t="s">
        <v>69</v>
      </c>
      <c r="G41" s="19" t="s">
        <v>158</v>
      </c>
    </row>
    <row r="42" customFormat="false" ht="15" hidden="false" customHeight="false" outlineLevel="0" collapsed="false">
      <c r="A42" s="17" t="n">
        <v>41</v>
      </c>
      <c r="B42" s="17" t="s">
        <v>148</v>
      </c>
      <c r="C42" s="17" t="s">
        <v>159</v>
      </c>
      <c r="D42" s="17" t="s">
        <v>72</v>
      </c>
      <c r="E42" s="17" t="s">
        <v>72</v>
      </c>
      <c r="F42" s="18" t="s">
        <v>69</v>
      </c>
      <c r="G42" s="19" t="s">
        <v>160</v>
      </c>
    </row>
    <row r="43" customFormat="false" ht="15" hidden="false" customHeight="false" outlineLevel="0" collapsed="false">
      <c r="A43" s="17" t="n">
        <v>42</v>
      </c>
      <c r="B43" s="17" t="s">
        <v>148</v>
      </c>
      <c r="C43" s="17" t="s">
        <v>161</v>
      </c>
      <c r="D43" s="17" t="s">
        <v>68</v>
      </c>
      <c r="E43" s="17" t="s">
        <v>68</v>
      </c>
      <c r="F43" s="18" t="s">
        <v>69</v>
      </c>
      <c r="G43" s="19" t="s">
        <v>162</v>
      </c>
    </row>
    <row r="44" customFormat="false" ht="15" hidden="false" customHeight="false" outlineLevel="0" collapsed="false">
      <c r="A44" s="17" t="n">
        <v>43</v>
      </c>
      <c r="B44" s="17" t="s">
        <v>148</v>
      </c>
      <c r="C44" s="17" t="s">
        <v>163</v>
      </c>
      <c r="D44" s="17" t="s">
        <v>72</v>
      </c>
      <c r="E44" s="17" t="s">
        <v>72</v>
      </c>
      <c r="F44" s="18" t="s">
        <v>69</v>
      </c>
      <c r="G44" s="19" t="s">
        <v>164</v>
      </c>
    </row>
    <row r="45" customFormat="false" ht="15" hidden="false" customHeight="false" outlineLevel="0" collapsed="false">
      <c r="A45" s="17" t="n">
        <v>44</v>
      </c>
      <c r="B45" s="17" t="s">
        <v>148</v>
      </c>
      <c r="C45" s="17" t="s">
        <v>165</v>
      </c>
      <c r="D45" s="17" t="s">
        <v>67</v>
      </c>
      <c r="E45" s="17" t="s">
        <v>72</v>
      </c>
      <c r="F45" s="20" t="s">
        <v>74</v>
      </c>
      <c r="G45" s="21" t="s">
        <v>166</v>
      </c>
    </row>
    <row r="46" customFormat="false" ht="15" hidden="false" customHeight="false" outlineLevel="0" collapsed="false">
      <c r="A46" s="17" t="n">
        <v>45</v>
      </c>
      <c r="B46" s="17" t="s">
        <v>148</v>
      </c>
      <c r="C46" s="17" t="s">
        <v>167</v>
      </c>
      <c r="D46" s="17" t="s">
        <v>68</v>
      </c>
      <c r="E46" s="17" t="s">
        <v>68</v>
      </c>
      <c r="F46" s="18" t="s">
        <v>69</v>
      </c>
      <c r="G46" s="19" t="s">
        <v>168</v>
      </c>
    </row>
    <row r="47" customFormat="false" ht="15" hidden="false" customHeight="false" outlineLevel="0" collapsed="false">
      <c r="A47" s="17" t="n">
        <v>46</v>
      </c>
      <c r="B47" s="17" t="s">
        <v>148</v>
      </c>
      <c r="C47" s="17" t="s">
        <v>108</v>
      </c>
      <c r="D47" s="17" t="s">
        <v>72</v>
      </c>
      <c r="E47" s="17" t="s">
        <v>72</v>
      </c>
      <c r="F47" s="18" t="s">
        <v>69</v>
      </c>
      <c r="G47" s="19" t="s">
        <v>169</v>
      </c>
    </row>
    <row r="48" customFormat="false" ht="15" hidden="false" customHeight="false" outlineLevel="0" collapsed="false">
      <c r="A48" s="17" t="n">
        <v>47</v>
      </c>
      <c r="B48" s="17" t="s">
        <v>148</v>
      </c>
      <c r="C48" s="17" t="s">
        <v>170</v>
      </c>
      <c r="D48" s="17" t="s">
        <v>72</v>
      </c>
      <c r="E48" s="17" t="s">
        <v>72</v>
      </c>
      <c r="F48" s="18" t="s">
        <v>69</v>
      </c>
      <c r="G48" s="21" t="s">
        <v>171</v>
      </c>
    </row>
    <row r="49" customFormat="false" ht="15" hidden="false" customHeight="false" outlineLevel="0" collapsed="false">
      <c r="A49" s="17" t="n">
        <v>48</v>
      </c>
      <c r="B49" s="17" t="s">
        <v>148</v>
      </c>
      <c r="C49" s="17" t="s">
        <v>172</v>
      </c>
      <c r="D49" s="17" t="s">
        <v>72</v>
      </c>
      <c r="E49" s="17" t="s">
        <v>72</v>
      </c>
      <c r="F49" s="18" t="s">
        <v>69</v>
      </c>
      <c r="G49" s="19" t="s">
        <v>173</v>
      </c>
    </row>
    <row r="50" customFormat="false" ht="15" hidden="false" customHeight="false" outlineLevel="0" collapsed="false">
      <c r="A50" s="17" t="n">
        <v>49</v>
      </c>
      <c r="B50" s="17" t="s">
        <v>148</v>
      </c>
      <c r="C50" s="17" t="s">
        <v>174</v>
      </c>
      <c r="D50" s="17" t="s">
        <v>68</v>
      </c>
      <c r="E50" s="17" t="s">
        <v>68</v>
      </c>
      <c r="F50" s="18" t="s">
        <v>69</v>
      </c>
      <c r="G50" s="19" t="s">
        <v>175</v>
      </c>
    </row>
    <row r="51" customFormat="false" ht="15" hidden="false" customHeight="false" outlineLevel="0" collapsed="false">
      <c r="A51" s="17" t="n">
        <v>50</v>
      </c>
      <c r="B51" s="17" t="s">
        <v>148</v>
      </c>
      <c r="C51" s="17" t="s">
        <v>176</v>
      </c>
      <c r="D51" s="17" t="s">
        <v>72</v>
      </c>
      <c r="E51" s="17" t="s">
        <v>72</v>
      </c>
      <c r="F51" s="18" t="s">
        <v>69</v>
      </c>
      <c r="G51" s="19" t="s">
        <v>177</v>
      </c>
    </row>
    <row r="52" customFormat="false" ht="15" hidden="false" customHeight="false" outlineLevel="0" collapsed="false">
      <c r="A52" s="17" t="n">
        <v>51</v>
      </c>
      <c r="B52" s="17" t="s">
        <v>148</v>
      </c>
      <c r="C52" s="17" t="s">
        <v>178</v>
      </c>
      <c r="D52" s="17" t="s">
        <v>88</v>
      </c>
      <c r="E52" s="17" t="s">
        <v>88</v>
      </c>
      <c r="F52" s="18" t="s">
        <v>69</v>
      </c>
      <c r="G52" s="19" t="s">
        <v>179</v>
      </c>
    </row>
    <row r="53" customFormat="false" ht="15" hidden="false" customHeight="false" outlineLevel="0" collapsed="false">
      <c r="A53" s="17" t="n">
        <v>52</v>
      </c>
      <c r="B53" s="17" t="s">
        <v>148</v>
      </c>
      <c r="C53" s="17" t="s">
        <v>180</v>
      </c>
      <c r="D53" s="17" t="s">
        <v>72</v>
      </c>
      <c r="E53" s="17" t="s">
        <v>72</v>
      </c>
      <c r="F53" s="18" t="s">
        <v>69</v>
      </c>
      <c r="G53" s="21" t="s">
        <v>181</v>
      </c>
    </row>
    <row r="54" customFormat="false" ht="15" hidden="false" customHeight="false" outlineLevel="0" collapsed="false">
      <c r="A54" s="17" t="n">
        <v>53</v>
      </c>
      <c r="B54" s="17" t="s">
        <v>148</v>
      </c>
      <c r="C54" s="17" t="s">
        <v>182</v>
      </c>
      <c r="D54" s="17" t="s">
        <v>68</v>
      </c>
      <c r="E54" s="17" t="s">
        <v>68</v>
      </c>
      <c r="F54" s="18" t="s">
        <v>69</v>
      </c>
      <c r="G54" s="19" t="s">
        <v>183</v>
      </c>
    </row>
    <row r="55" customFormat="false" ht="15" hidden="false" customHeight="false" outlineLevel="0" collapsed="false">
      <c r="A55" s="17" t="n">
        <v>54</v>
      </c>
      <c r="B55" s="17" t="s">
        <v>148</v>
      </c>
      <c r="C55" s="17" t="s">
        <v>184</v>
      </c>
      <c r="D55" s="17" t="s">
        <v>96</v>
      </c>
      <c r="E55" s="17" t="s">
        <v>96</v>
      </c>
      <c r="F55" s="18" t="s">
        <v>69</v>
      </c>
      <c r="G55" s="21" t="s">
        <v>185</v>
      </c>
    </row>
    <row r="56" customFormat="false" ht="15" hidden="false" customHeight="false" outlineLevel="0" collapsed="false">
      <c r="A56" s="17" t="n">
        <v>55</v>
      </c>
      <c r="B56" s="17" t="s">
        <v>148</v>
      </c>
      <c r="C56" s="17" t="s">
        <v>186</v>
      </c>
      <c r="D56" s="17" t="s">
        <v>68</v>
      </c>
      <c r="E56" s="17" t="s">
        <v>68</v>
      </c>
      <c r="F56" s="18" t="s">
        <v>69</v>
      </c>
      <c r="G56" s="19" t="s">
        <v>187</v>
      </c>
    </row>
    <row r="57" customFormat="false" ht="15" hidden="false" customHeight="false" outlineLevel="0" collapsed="false">
      <c r="A57" s="17" t="n">
        <v>56</v>
      </c>
      <c r="B57" s="17" t="s">
        <v>148</v>
      </c>
      <c r="C57" s="17" t="s">
        <v>188</v>
      </c>
      <c r="D57" s="17" t="s">
        <v>72</v>
      </c>
      <c r="E57" s="17" t="s">
        <v>72</v>
      </c>
      <c r="F57" s="18" t="s">
        <v>69</v>
      </c>
      <c r="G57" s="21" t="s">
        <v>189</v>
      </c>
    </row>
    <row r="58" customFormat="false" ht="15" hidden="false" customHeight="false" outlineLevel="0" collapsed="false">
      <c r="A58" s="17" t="n">
        <v>57</v>
      </c>
      <c r="B58" s="17" t="s">
        <v>148</v>
      </c>
      <c r="C58" s="17" t="s">
        <v>190</v>
      </c>
      <c r="D58" s="17" t="s">
        <v>81</v>
      </c>
      <c r="E58" s="17" t="s">
        <v>73</v>
      </c>
      <c r="F58" s="20" t="s">
        <v>74</v>
      </c>
      <c r="G58" s="19" t="s">
        <v>191</v>
      </c>
    </row>
    <row r="59" customFormat="false" ht="15" hidden="false" customHeight="false" outlineLevel="0" collapsed="false">
      <c r="A59" s="17" t="n">
        <v>58</v>
      </c>
      <c r="B59" s="17" t="s">
        <v>148</v>
      </c>
      <c r="C59" s="17" t="s">
        <v>192</v>
      </c>
      <c r="D59" s="17" t="s">
        <v>88</v>
      </c>
      <c r="E59" s="17" t="s">
        <v>97</v>
      </c>
      <c r="F59" s="22" t="s">
        <v>98</v>
      </c>
      <c r="G59" s="21" t="s">
        <v>193</v>
      </c>
    </row>
    <row r="60" customFormat="false" ht="15" hidden="false" customHeight="false" outlineLevel="0" collapsed="false">
      <c r="A60" s="17" t="n">
        <v>59</v>
      </c>
      <c r="B60" s="17" t="s">
        <v>148</v>
      </c>
      <c r="C60" s="17" t="s">
        <v>194</v>
      </c>
      <c r="D60" s="17" t="s">
        <v>72</v>
      </c>
      <c r="E60" s="17" t="s">
        <v>72</v>
      </c>
      <c r="F60" s="18" t="s">
        <v>69</v>
      </c>
      <c r="G60" s="19" t="s">
        <v>195</v>
      </c>
    </row>
    <row r="61" customFormat="false" ht="15" hidden="false" customHeight="false" outlineLevel="0" collapsed="false">
      <c r="A61" s="17" t="n">
        <v>60</v>
      </c>
      <c r="B61" s="17" t="s">
        <v>148</v>
      </c>
      <c r="C61" s="17" t="s">
        <v>196</v>
      </c>
      <c r="D61" s="17" t="s">
        <v>72</v>
      </c>
      <c r="E61" s="17" t="s">
        <v>72</v>
      </c>
      <c r="F61" s="18" t="s">
        <v>69</v>
      </c>
      <c r="G61" s="19" t="s">
        <v>197</v>
      </c>
    </row>
    <row r="62" customFormat="false" ht="15" hidden="false" customHeight="false" outlineLevel="0" collapsed="false">
      <c r="A62" s="17" t="n">
        <v>61</v>
      </c>
      <c r="B62" s="17" t="s">
        <v>148</v>
      </c>
      <c r="C62" s="17" t="s">
        <v>198</v>
      </c>
      <c r="D62" s="17" t="s">
        <v>96</v>
      </c>
      <c r="E62" s="17" t="s">
        <v>96</v>
      </c>
      <c r="F62" s="18" t="s">
        <v>69</v>
      </c>
      <c r="G62" s="19" t="s">
        <v>199</v>
      </c>
    </row>
    <row r="63" customFormat="false" ht="15" hidden="false" customHeight="false" outlineLevel="0" collapsed="false">
      <c r="A63" s="17" t="n">
        <v>62</v>
      </c>
      <c r="B63" s="17" t="s">
        <v>148</v>
      </c>
      <c r="C63" s="17" t="s">
        <v>200</v>
      </c>
      <c r="D63" s="17" t="s">
        <v>73</v>
      </c>
      <c r="E63" s="17" t="s">
        <v>73</v>
      </c>
      <c r="F63" s="18" t="s">
        <v>69</v>
      </c>
      <c r="G63" s="19" t="s">
        <v>201</v>
      </c>
    </row>
    <row r="64" customFormat="false" ht="15" hidden="false" customHeight="false" outlineLevel="0" collapsed="false">
      <c r="A64" s="17" t="n">
        <v>63</v>
      </c>
      <c r="B64" s="17" t="s">
        <v>148</v>
      </c>
      <c r="C64" s="17" t="s">
        <v>202</v>
      </c>
      <c r="D64" s="17" t="s">
        <v>72</v>
      </c>
      <c r="E64" s="17" t="s">
        <v>72</v>
      </c>
      <c r="F64" s="18" t="s">
        <v>69</v>
      </c>
      <c r="G64" s="19" t="s">
        <v>203</v>
      </c>
    </row>
    <row r="65" customFormat="false" ht="15" hidden="false" customHeight="false" outlineLevel="0" collapsed="false">
      <c r="A65" s="17" t="n">
        <v>64</v>
      </c>
      <c r="B65" s="17" t="s">
        <v>148</v>
      </c>
      <c r="C65" s="17" t="s">
        <v>204</v>
      </c>
      <c r="D65" s="17" t="s">
        <v>81</v>
      </c>
      <c r="E65" s="17" t="s">
        <v>68</v>
      </c>
      <c r="F65" s="20" t="s">
        <v>74</v>
      </c>
      <c r="G65" s="19" t="s">
        <v>205</v>
      </c>
    </row>
    <row r="66" customFormat="false" ht="15" hidden="false" customHeight="false" outlineLevel="0" collapsed="false">
      <c r="A66" s="17" t="n">
        <v>65</v>
      </c>
      <c r="B66" s="17" t="s">
        <v>148</v>
      </c>
      <c r="C66" s="17" t="s">
        <v>206</v>
      </c>
      <c r="D66" s="17" t="s">
        <v>96</v>
      </c>
      <c r="E66" s="17" t="s">
        <v>73</v>
      </c>
      <c r="F66" s="20" t="s">
        <v>74</v>
      </c>
      <c r="G66" s="19" t="s">
        <v>207</v>
      </c>
    </row>
    <row r="67" customFormat="false" ht="15" hidden="false" customHeight="false" outlineLevel="0" collapsed="false">
      <c r="A67" s="17" t="n">
        <v>66</v>
      </c>
      <c r="B67" s="17" t="s">
        <v>148</v>
      </c>
      <c r="C67" s="17" t="s">
        <v>208</v>
      </c>
      <c r="D67" s="17" t="s">
        <v>68</v>
      </c>
      <c r="E67" s="17" t="s">
        <v>68</v>
      </c>
      <c r="F67" s="18" t="s">
        <v>69</v>
      </c>
      <c r="G67" s="21" t="s">
        <v>209</v>
      </c>
    </row>
    <row r="68" customFormat="false" ht="15" hidden="false" customHeight="false" outlineLevel="0" collapsed="false">
      <c r="A68" s="17" t="n">
        <v>67</v>
      </c>
      <c r="B68" s="17" t="s">
        <v>148</v>
      </c>
      <c r="C68" s="17" t="s">
        <v>210</v>
      </c>
      <c r="D68" s="17" t="s">
        <v>81</v>
      </c>
      <c r="E68" s="17" t="s">
        <v>68</v>
      </c>
      <c r="F68" s="20" t="s">
        <v>74</v>
      </c>
      <c r="G68" s="21" t="s">
        <v>211</v>
      </c>
    </row>
    <row r="69" customFormat="false" ht="15" hidden="false" customHeight="false" outlineLevel="0" collapsed="false">
      <c r="A69" s="17" t="n">
        <v>68</v>
      </c>
      <c r="B69" s="17" t="s">
        <v>148</v>
      </c>
      <c r="C69" s="17" t="s">
        <v>212</v>
      </c>
      <c r="D69" s="17" t="s">
        <v>81</v>
      </c>
      <c r="E69" s="17" t="s">
        <v>97</v>
      </c>
      <c r="F69" s="22" t="s">
        <v>98</v>
      </c>
      <c r="G69" s="19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2"/>
    <col collapsed="false" customWidth="true" hidden="false" outlineLevel="0" max="5" min="5" style="0" width="6"/>
    <col collapsed="false" customWidth="true" hidden="false" outlineLevel="0" max="6" min="6" style="0" width="52"/>
    <col collapsed="false" customWidth="true" hidden="false" outlineLevel="0" max="7" min="7" style="0" width="58"/>
  </cols>
  <sheetData>
    <row r="1" customFormat="false" ht="15" hidden="false" customHeight="false" outlineLevel="0" collapsed="false">
      <c r="A1" s="9" t="s">
        <v>214</v>
      </c>
    </row>
    <row r="2" customFormat="false" ht="15" hidden="false" customHeight="false" outlineLevel="0" collapsed="false">
      <c r="A2" s="15" t="s">
        <v>59</v>
      </c>
      <c r="B2" s="16" t="s">
        <v>60</v>
      </c>
      <c r="C2" s="16" t="s">
        <v>61</v>
      </c>
      <c r="D2" s="15" t="s">
        <v>215</v>
      </c>
      <c r="E2" s="16" t="s">
        <v>216</v>
      </c>
      <c r="F2" s="15" t="s">
        <v>217</v>
      </c>
      <c r="G2" s="16" t="s">
        <v>218</v>
      </c>
    </row>
    <row r="3" customFormat="false" ht="29.85" hidden="false" customHeight="false" outlineLevel="0" collapsed="false">
      <c r="A3" s="17" t="s">
        <v>219</v>
      </c>
      <c r="B3" s="17" t="s">
        <v>65</v>
      </c>
      <c r="C3" s="17" t="s">
        <v>220</v>
      </c>
      <c r="D3" s="17" t="s">
        <v>72</v>
      </c>
      <c r="E3" s="17" t="n">
        <v>3</v>
      </c>
      <c r="F3" s="19" t="s">
        <v>221</v>
      </c>
      <c r="G3" s="19" t="s">
        <v>222</v>
      </c>
    </row>
    <row r="4" customFormat="false" ht="15" hidden="false" customHeight="false" outlineLevel="0" collapsed="false">
      <c r="A4" s="17" t="s">
        <v>223</v>
      </c>
      <c r="B4" s="17" t="s">
        <v>65</v>
      </c>
      <c r="C4" s="17" t="s">
        <v>224</v>
      </c>
      <c r="D4" s="17" t="s">
        <v>81</v>
      </c>
      <c r="E4" s="17" t="n">
        <v>3</v>
      </c>
      <c r="F4" s="21" t="s">
        <v>225</v>
      </c>
      <c r="G4" s="19" t="s">
        <v>226</v>
      </c>
    </row>
    <row r="5" customFormat="false" ht="15" hidden="false" customHeight="false" outlineLevel="0" collapsed="false">
      <c r="A5" s="17" t="s">
        <v>227</v>
      </c>
      <c r="B5" s="17" t="s">
        <v>65</v>
      </c>
      <c r="C5" s="17" t="s">
        <v>228</v>
      </c>
      <c r="D5" s="17" t="s">
        <v>68</v>
      </c>
      <c r="E5" s="17" t="n">
        <v>2</v>
      </c>
      <c r="F5" s="19" t="s">
        <v>229</v>
      </c>
      <c r="G5" s="19" t="s">
        <v>230</v>
      </c>
    </row>
    <row r="6" customFormat="false" ht="15" hidden="false" customHeight="false" outlineLevel="0" collapsed="false">
      <c r="A6" s="17" t="s">
        <v>231</v>
      </c>
      <c r="B6" s="17" t="s">
        <v>65</v>
      </c>
      <c r="C6" s="17" t="s">
        <v>232</v>
      </c>
      <c r="D6" s="17" t="s">
        <v>72</v>
      </c>
      <c r="E6" s="17" t="n">
        <v>3</v>
      </c>
      <c r="F6" s="21" t="s">
        <v>233</v>
      </c>
      <c r="G6" s="21" t="s">
        <v>234</v>
      </c>
    </row>
    <row r="7" customFormat="false" ht="15" hidden="false" customHeight="false" outlineLevel="0" collapsed="false">
      <c r="A7" s="17" t="s">
        <v>235</v>
      </c>
      <c r="B7" s="17" t="s">
        <v>65</v>
      </c>
      <c r="C7" s="17" t="s">
        <v>236</v>
      </c>
      <c r="D7" s="17" t="s">
        <v>68</v>
      </c>
      <c r="E7" s="17" t="n">
        <v>3</v>
      </c>
      <c r="F7" s="21" t="s">
        <v>237</v>
      </c>
      <c r="G7" s="21" t="s">
        <v>238</v>
      </c>
    </row>
    <row r="8" customFormat="false" ht="15" hidden="false" customHeight="false" outlineLevel="0" collapsed="false">
      <c r="A8" s="17" t="s">
        <v>239</v>
      </c>
      <c r="B8" s="17" t="s">
        <v>65</v>
      </c>
      <c r="C8" s="17" t="s">
        <v>240</v>
      </c>
      <c r="D8" s="17" t="s">
        <v>73</v>
      </c>
      <c r="E8" s="17" t="n">
        <v>2</v>
      </c>
      <c r="F8" s="19" t="s">
        <v>241</v>
      </c>
      <c r="G8" s="19" t="s">
        <v>242</v>
      </c>
    </row>
    <row r="9" customFormat="false" ht="29.85" hidden="false" customHeight="false" outlineLevel="0" collapsed="false">
      <c r="A9" s="17" t="s">
        <v>243</v>
      </c>
      <c r="B9" s="17" t="s">
        <v>65</v>
      </c>
      <c r="C9" s="17" t="s">
        <v>244</v>
      </c>
      <c r="D9" s="17" t="s">
        <v>73</v>
      </c>
      <c r="E9" s="17" t="n">
        <v>2</v>
      </c>
      <c r="F9" s="19" t="s">
        <v>245</v>
      </c>
      <c r="G9" s="19" t="s">
        <v>246</v>
      </c>
    </row>
    <row r="10" customFormat="false" ht="15" hidden="false" customHeight="false" outlineLevel="0" collapsed="false">
      <c r="A10" s="17" t="s">
        <v>247</v>
      </c>
      <c r="B10" s="17" t="s">
        <v>65</v>
      </c>
      <c r="C10" s="17" t="s">
        <v>248</v>
      </c>
      <c r="D10" s="17" t="s">
        <v>81</v>
      </c>
      <c r="E10" s="17" t="n">
        <v>3</v>
      </c>
      <c r="F10" s="19" t="s">
        <v>249</v>
      </c>
      <c r="G10" s="19" t="s">
        <v>250</v>
      </c>
    </row>
    <row r="11" customFormat="false" ht="15" hidden="false" customHeight="false" outlineLevel="0" collapsed="false">
      <c r="A11" s="17" t="s">
        <v>251</v>
      </c>
      <c r="B11" s="17" t="s">
        <v>65</v>
      </c>
      <c r="C11" s="17" t="s">
        <v>252</v>
      </c>
      <c r="D11" s="17" t="s">
        <v>91</v>
      </c>
      <c r="E11" s="17" t="n">
        <v>2</v>
      </c>
      <c r="F11" s="19" t="s">
        <v>253</v>
      </c>
      <c r="G11" s="19" t="s">
        <v>254</v>
      </c>
    </row>
    <row r="12" customFormat="false" ht="29.85" hidden="false" customHeight="false" outlineLevel="0" collapsed="false">
      <c r="A12" s="17" t="s">
        <v>255</v>
      </c>
      <c r="B12" s="17" t="s">
        <v>65</v>
      </c>
      <c r="C12" s="17" t="s">
        <v>256</v>
      </c>
      <c r="D12" s="17" t="s">
        <v>68</v>
      </c>
      <c r="E12" s="17" t="n">
        <v>2</v>
      </c>
      <c r="F12" s="19" t="s">
        <v>257</v>
      </c>
      <c r="G12" s="19" t="s">
        <v>258</v>
      </c>
    </row>
    <row r="13" customFormat="false" ht="29.85" hidden="false" customHeight="false" outlineLevel="0" collapsed="false">
      <c r="A13" s="17" t="s">
        <v>259</v>
      </c>
      <c r="B13" s="17" t="s">
        <v>65</v>
      </c>
      <c r="C13" s="17" t="s">
        <v>260</v>
      </c>
      <c r="D13" s="17" t="s">
        <v>73</v>
      </c>
      <c r="E13" s="17" t="n">
        <v>3</v>
      </c>
      <c r="F13" s="19" t="s">
        <v>261</v>
      </c>
      <c r="G13" s="19" t="s">
        <v>262</v>
      </c>
    </row>
    <row r="14" customFormat="false" ht="15" hidden="false" customHeight="false" outlineLevel="0" collapsed="false">
      <c r="A14" s="17" t="s">
        <v>263</v>
      </c>
      <c r="B14" s="17" t="s">
        <v>65</v>
      </c>
      <c r="C14" s="17" t="s">
        <v>264</v>
      </c>
      <c r="D14" s="17" t="s">
        <v>81</v>
      </c>
      <c r="E14" s="17" t="n">
        <v>3</v>
      </c>
      <c r="F14" s="19" t="s">
        <v>265</v>
      </c>
      <c r="G14" s="19" t="s">
        <v>266</v>
      </c>
    </row>
    <row r="15" customFormat="false" ht="15" hidden="false" customHeight="false" outlineLevel="0" collapsed="false">
      <c r="A15" s="17" t="s">
        <v>267</v>
      </c>
      <c r="B15" s="17" t="s">
        <v>65</v>
      </c>
      <c r="C15" s="17" t="s">
        <v>268</v>
      </c>
      <c r="D15" s="17" t="s">
        <v>88</v>
      </c>
      <c r="E15" s="17" t="n">
        <v>2</v>
      </c>
      <c r="F15" s="19" t="s">
        <v>269</v>
      </c>
      <c r="G15" s="19" t="s">
        <v>270</v>
      </c>
    </row>
    <row r="16" customFormat="false" ht="15" hidden="false" customHeight="false" outlineLevel="0" collapsed="false">
      <c r="A16" s="17" t="s">
        <v>271</v>
      </c>
      <c r="B16" s="17" t="s">
        <v>65</v>
      </c>
      <c r="C16" s="17" t="s">
        <v>272</v>
      </c>
      <c r="D16" s="17" t="s">
        <v>68</v>
      </c>
      <c r="E16" s="17" t="n">
        <v>2</v>
      </c>
      <c r="F16" s="19" t="s">
        <v>273</v>
      </c>
      <c r="G16" s="19" t="s">
        <v>274</v>
      </c>
    </row>
    <row r="17" customFormat="false" ht="15" hidden="false" customHeight="false" outlineLevel="0" collapsed="false">
      <c r="A17" s="17" t="s">
        <v>275</v>
      </c>
      <c r="B17" s="17" t="s">
        <v>65</v>
      </c>
      <c r="C17" s="17" t="s">
        <v>276</v>
      </c>
      <c r="D17" s="17" t="s">
        <v>68</v>
      </c>
      <c r="E17" s="17" t="n">
        <v>2</v>
      </c>
      <c r="F17" s="21" t="s">
        <v>277</v>
      </c>
      <c r="G17" s="19" t="s">
        <v>278</v>
      </c>
    </row>
    <row r="18" customFormat="false" ht="29.85" hidden="false" customHeight="false" outlineLevel="0" collapsed="false">
      <c r="A18" s="17" t="s">
        <v>279</v>
      </c>
      <c r="B18" s="17" t="s">
        <v>65</v>
      </c>
      <c r="C18" s="17" t="s">
        <v>280</v>
      </c>
      <c r="D18" s="17" t="s">
        <v>73</v>
      </c>
      <c r="E18" s="17" t="n">
        <v>2</v>
      </c>
      <c r="F18" s="19" t="s">
        <v>281</v>
      </c>
      <c r="G18" s="19" t="s">
        <v>282</v>
      </c>
    </row>
    <row r="19" customFormat="false" ht="15" hidden="false" customHeight="false" outlineLevel="0" collapsed="false">
      <c r="A19" s="17" t="s">
        <v>283</v>
      </c>
      <c r="B19" s="17" t="s">
        <v>65</v>
      </c>
      <c r="C19" s="17" t="s">
        <v>284</v>
      </c>
      <c r="D19" s="17" t="s">
        <v>68</v>
      </c>
      <c r="E19" s="17" t="n">
        <v>2</v>
      </c>
      <c r="F19" s="19" t="s">
        <v>285</v>
      </c>
      <c r="G19" s="19" t="s">
        <v>286</v>
      </c>
    </row>
    <row r="20" customFormat="false" ht="15" hidden="false" customHeight="false" outlineLevel="0" collapsed="false">
      <c r="A20" s="17" t="s">
        <v>287</v>
      </c>
      <c r="B20" s="17" t="s">
        <v>65</v>
      </c>
      <c r="C20" s="17" t="s">
        <v>288</v>
      </c>
      <c r="D20" s="17" t="s">
        <v>68</v>
      </c>
      <c r="E20" s="17" t="n">
        <v>3</v>
      </c>
      <c r="F20" s="21" t="s">
        <v>289</v>
      </c>
      <c r="G20" s="21" t="s">
        <v>290</v>
      </c>
    </row>
    <row r="21" customFormat="false" ht="29.85" hidden="false" customHeight="false" outlineLevel="0" collapsed="false">
      <c r="A21" s="17" t="s">
        <v>291</v>
      </c>
      <c r="B21" s="17" t="s">
        <v>65</v>
      </c>
      <c r="C21" s="17" t="s">
        <v>292</v>
      </c>
      <c r="D21" s="17" t="s">
        <v>88</v>
      </c>
      <c r="E21" s="17" t="n">
        <v>3</v>
      </c>
      <c r="F21" s="21" t="s">
        <v>293</v>
      </c>
      <c r="G21" s="19" t="s">
        <v>294</v>
      </c>
    </row>
    <row r="22" customFormat="false" ht="15" hidden="false" customHeight="false" outlineLevel="0" collapsed="false">
      <c r="A22" s="17" t="s">
        <v>295</v>
      </c>
      <c r="B22" s="17" t="s">
        <v>65</v>
      </c>
      <c r="C22" s="17" t="s">
        <v>296</v>
      </c>
      <c r="D22" s="17" t="s">
        <v>68</v>
      </c>
      <c r="E22" s="17" t="n">
        <v>2</v>
      </c>
      <c r="F22" s="21" t="s">
        <v>297</v>
      </c>
      <c r="G22" s="19" t="s">
        <v>298</v>
      </c>
    </row>
    <row r="23" customFormat="false" ht="29.85" hidden="false" customHeight="false" outlineLevel="0" collapsed="false">
      <c r="A23" s="17" t="s">
        <v>299</v>
      </c>
      <c r="B23" s="17" t="s">
        <v>148</v>
      </c>
      <c r="C23" s="17" t="s">
        <v>300</v>
      </c>
      <c r="D23" s="17" t="s">
        <v>81</v>
      </c>
      <c r="E23" s="17" t="n">
        <v>2</v>
      </c>
      <c r="F23" s="19" t="s">
        <v>301</v>
      </c>
      <c r="G23" s="19" t="s">
        <v>302</v>
      </c>
    </row>
    <row r="24" customFormat="false" ht="29.85" hidden="false" customHeight="false" outlineLevel="0" collapsed="false">
      <c r="A24" s="17" t="s">
        <v>303</v>
      </c>
      <c r="B24" s="17" t="s">
        <v>148</v>
      </c>
      <c r="C24" s="17" t="s">
        <v>304</v>
      </c>
      <c r="D24" s="17" t="s">
        <v>73</v>
      </c>
      <c r="E24" s="17" t="n">
        <v>2</v>
      </c>
      <c r="F24" s="19" t="s">
        <v>305</v>
      </c>
      <c r="G24" s="19" t="s">
        <v>306</v>
      </c>
    </row>
    <row r="25" customFormat="false" ht="29.85" hidden="false" customHeight="false" outlineLevel="0" collapsed="false">
      <c r="A25" s="17" t="s">
        <v>307</v>
      </c>
      <c r="B25" s="17" t="s">
        <v>148</v>
      </c>
      <c r="C25" s="17" t="s">
        <v>308</v>
      </c>
      <c r="D25" s="17" t="s">
        <v>96</v>
      </c>
      <c r="E25" s="17" t="n">
        <v>2</v>
      </c>
      <c r="F25" s="19" t="s">
        <v>309</v>
      </c>
      <c r="G25" s="19" t="s">
        <v>310</v>
      </c>
    </row>
    <row r="26" customFormat="false" ht="29.85" hidden="false" customHeight="false" outlineLevel="0" collapsed="false">
      <c r="A26" s="17" t="s">
        <v>311</v>
      </c>
      <c r="B26" s="17" t="s">
        <v>148</v>
      </c>
      <c r="C26" s="17" t="s">
        <v>312</v>
      </c>
      <c r="D26" s="17" t="s">
        <v>72</v>
      </c>
      <c r="E26" s="17" t="n">
        <v>3</v>
      </c>
      <c r="F26" s="19" t="s">
        <v>313</v>
      </c>
      <c r="G26" s="19" t="s">
        <v>314</v>
      </c>
    </row>
    <row r="27" customFormat="false" ht="29.85" hidden="false" customHeight="false" outlineLevel="0" collapsed="false">
      <c r="A27" s="17" t="s">
        <v>315</v>
      </c>
      <c r="B27" s="17" t="s">
        <v>148</v>
      </c>
      <c r="C27" s="17" t="s">
        <v>316</v>
      </c>
      <c r="D27" s="17" t="s">
        <v>88</v>
      </c>
      <c r="E27" s="17" t="n">
        <v>3</v>
      </c>
      <c r="F27" s="21" t="s">
        <v>317</v>
      </c>
      <c r="G27" s="19" t="s">
        <v>318</v>
      </c>
    </row>
    <row r="28" customFormat="false" ht="15" hidden="false" customHeight="false" outlineLevel="0" collapsed="false">
      <c r="A28" s="17" t="s">
        <v>319</v>
      </c>
      <c r="B28" s="17" t="s">
        <v>148</v>
      </c>
      <c r="C28" s="17" t="s">
        <v>320</v>
      </c>
      <c r="D28" s="17" t="s">
        <v>68</v>
      </c>
      <c r="E28" s="17" t="n">
        <v>2</v>
      </c>
      <c r="F28" s="19" t="s">
        <v>321</v>
      </c>
      <c r="G28" s="19" t="s">
        <v>322</v>
      </c>
    </row>
    <row r="29" customFormat="false" ht="29.85" hidden="false" customHeight="false" outlineLevel="0" collapsed="false">
      <c r="A29" s="17" t="s">
        <v>323</v>
      </c>
      <c r="B29" s="17" t="s">
        <v>148</v>
      </c>
      <c r="C29" s="17" t="s">
        <v>324</v>
      </c>
      <c r="D29" s="17" t="s">
        <v>68</v>
      </c>
      <c r="E29" s="17" t="n">
        <v>2</v>
      </c>
      <c r="F29" s="19" t="s">
        <v>325</v>
      </c>
      <c r="G29" s="19" t="s">
        <v>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5" min="5" style="0" width="6"/>
    <col collapsed="false" customWidth="true" hidden="false" outlineLevel="0" max="6" min="6" style="0" width="52"/>
    <col collapsed="false" customWidth="true" hidden="false" outlineLevel="0" max="7" min="7" style="0" width="58"/>
  </cols>
  <sheetData>
    <row r="1" customFormat="false" ht="15" hidden="false" customHeight="false" outlineLevel="0" collapsed="false">
      <c r="A1" s="9" t="s">
        <v>327</v>
      </c>
    </row>
    <row r="2" customFormat="false" ht="15" hidden="false" customHeight="false" outlineLevel="0" collapsed="false">
      <c r="A2" s="15" t="s">
        <v>59</v>
      </c>
      <c r="B2" s="16" t="s">
        <v>328</v>
      </c>
      <c r="C2" s="16" t="s">
        <v>61</v>
      </c>
      <c r="D2" s="15" t="s">
        <v>215</v>
      </c>
      <c r="E2" s="16" t="s">
        <v>216</v>
      </c>
      <c r="F2" s="15" t="s">
        <v>217</v>
      </c>
      <c r="G2" s="16" t="s">
        <v>218</v>
      </c>
    </row>
    <row r="3" customFormat="false" ht="29.85" hidden="false" customHeight="false" outlineLevel="0" collapsed="false">
      <c r="A3" s="17" t="s">
        <v>329</v>
      </c>
      <c r="B3" s="17" t="s">
        <v>330</v>
      </c>
      <c r="C3" s="17" t="s">
        <v>331</v>
      </c>
      <c r="D3" s="17" t="s">
        <v>72</v>
      </c>
      <c r="E3" s="17" t="n">
        <v>3</v>
      </c>
      <c r="F3" s="21" t="s">
        <v>332</v>
      </c>
      <c r="G3" s="19" t="s">
        <v>333</v>
      </c>
    </row>
    <row r="4" customFormat="false" ht="29.85" hidden="false" customHeight="false" outlineLevel="0" collapsed="false">
      <c r="A4" s="17" t="s">
        <v>334</v>
      </c>
      <c r="B4" s="17" t="s">
        <v>330</v>
      </c>
      <c r="C4" s="17" t="s">
        <v>335</v>
      </c>
      <c r="D4" s="17" t="s">
        <v>73</v>
      </c>
      <c r="E4" s="17" t="n">
        <v>3</v>
      </c>
      <c r="F4" s="19" t="s">
        <v>336</v>
      </c>
      <c r="G4" s="19" t="s">
        <v>337</v>
      </c>
    </row>
    <row r="5" customFormat="false" ht="15" hidden="false" customHeight="false" outlineLevel="0" collapsed="false">
      <c r="A5" s="17" t="s">
        <v>338</v>
      </c>
      <c r="B5" s="17" t="s">
        <v>330</v>
      </c>
      <c r="C5" s="17" t="s">
        <v>339</v>
      </c>
      <c r="D5" s="17" t="s">
        <v>73</v>
      </c>
      <c r="E5" s="17" t="n">
        <v>3</v>
      </c>
      <c r="F5" s="19" t="s">
        <v>340</v>
      </c>
      <c r="G5" s="19" t="s">
        <v>341</v>
      </c>
    </row>
    <row r="6" customFormat="false" ht="15" hidden="false" customHeight="false" outlineLevel="0" collapsed="false">
      <c r="A6" s="17" t="s">
        <v>342</v>
      </c>
      <c r="B6" s="17" t="s">
        <v>330</v>
      </c>
      <c r="C6" s="17" t="s">
        <v>343</v>
      </c>
      <c r="D6" s="17" t="s">
        <v>68</v>
      </c>
      <c r="E6" s="17" t="n">
        <v>3</v>
      </c>
      <c r="F6" s="19" t="s">
        <v>344</v>
      </c>
      <c r="G6" s="19" t="s">
        <v>345</v>
      </c>
    </row>
    <row r="7" customFormat="false" ht="15" hidden="false" customHeight="false" outlineLevel="0" collapsed="false">
      <c r="A7" s="17" t="s">
        <v>346</v>
      </c>
      <c r="B7" s="17" t="s">
        <v>330</v>
      </c>
      <c r="C7" s="17" t="s">
        <v>347</v>
      </c>
      <c r="D7" s="17" t="s">
        <v>81</v>
      </c>
      <c r="E7" s="17" t="n">
        <v>3</v>
      </c>
      <c r="F7" s="19" t="s">
        <v>348</v>
      </c>
      <c r="G7" s="19" t="s">
        <v>349</v>
      </c>
    </row>
    <row r="8" customFormat="false" ht="15" hidden="false" customHeight="false" outlineLevel="0" collapsed="false">
      <c r="A8" s="17" t="s">
        <v>350</v>
      </c>
      <c r="B8" s="17" t="s">
        <v>330</v>
      </c>
      <c r="C8" s="17" t="s">
        <v>280</v>
      </c>
      <c r="D8" s="17" t="s">
        <v>68</v>
      </c>
      <c r="E8" s="17" t="n">
        <v>3</v>
      </c>
      <c r="F8" s="19" t="s">
        <v>351</v>
      </c>
      <c r="G8" s="19" t="s">
        <v>352</v>
      </c>
    </row>
    <row r="9" customFormat="false" ht="15" hidden="false" customHeight="false" outlineLevel="0" collapsed="false">
      <c r="A9" s="17" t="s">
        <v>353</v>
      </c>
      <c r="B9" s="17" t="s">
        <v>330</v>
      </c>
      <c r="C9" s="17" t="s">
        <v>354</v>
      </c>
      <c r="D9" s="17" t="s">
        <v>72</v>
      </c>
      <c r="E9" s="17" t="n">
        <v>3</v>
      </c>
      <c r="F9" s="19" t="s">
        <v>355</v>
      </c>
      <c r="G9" s="19" t="s">
        <v>356</v>
      </c>
    </row>
    <row r="10" customFormat="false" ht="29.85" hidden="false" customHeight="false" outlineLevel="0" collapsed="false">
      <c r="A10" s="17" t="s">
        <v>357</v>
      </c>
      <c r="B10" s="17" t="s">
        <v>330</v>
      </c>
      <c r="C10" s="17" t="s">
        <v>358</v>
      </c>
      <c r="D10" s="17" t="s">
        <v>68</v>
      </c>
      <c r="E10" s="17" t="n">
        <v>3</v>
      </c>
      <c r="F10" s="19" t="s">
        <v>359</v>
      </c>
      <c r="G10" s="19" t="s">
        <v>360</v>
      </c>
    </row>
    <row r="11" customFormat="false" ht="29.85" hidden="false" customHeight="false" outlineLevel="0" collapsed="false">
      <c r="A11" s="17" t="s">
        <v>361</v>
      </c>
      <c r="B11" s="17" t="s">
        <v>330</v>
      </c>
      <c r="C11" s="17" t="s">
        <v>362</v>
      </c>
      <c r="D11" s="17" t="s">
        <v>72</v>
      </c>
      <c r="E11" s="17" t="n">
        <v>3</v>
      </c>
      <c r="F11" s="19" t="s">
        <v>363</v>
      </c>
      <c r="G11" s="19" t="s">
        <v>364</v>
      </c>
    </row>
    <row r="12" customFormat="false" ht="29.85" hidden="false" customHeight="false" outlineLevel="0" collapsed="false">
      <c r="A12" s="17" t="s">
        <v>365</v>
      </c>
      <c r="B12" s="17" t="s">
        <v>330</v>
      </c>
      <c r="C12" s="17" t="s">
        <v>366</v>
      </c>
      <c r="D12" s="17" t="s">
        <v>81</v>
      </c>
      <c r="E12" s="17" t="n">
        <v>3</v>
      </c>
      <c r="F12" s="19" t="s">
        <v>367</v>
      </c>
      <c r="G12" s="19" t="s">
        <v>368</v>
      </c>
    </row>
    <row r="13" customFormat="false" ht="15" hidden="false" customHeight="false" outlineLevel="0" collapsed="false">
      <c r="A13" s="17" t="s">
        <v>369</v>
      </c>
      <c r="B13" s="17" t="s">
        <v>330</v>
      </c>
      <c r="C13" s="17" t="s">
        <v>370</v>
      </c>
      <c r="D13" s="17" t="s">
        <v>72</v>
      </c>
      <c r="E13" s="17" t="n">
        <v>3</v>
      </c>
      <c r="F13" s="19" t="s">
        <v>371</v>
      </c>
      <c r="G13" s="19" t="s">
        <v>372</v>
      </c>
    </row>
    <row r="14" customFormat="false" ht="15" hidden="false" customHeight="false" outlineLevel="0" collapsed="false">
      <c r="A14" s="17" t="s">
        <v>373</v>
      </c>
      <c r="B14" s="17" t="s">
        <v>330</v>
      </c>
      <c r="C14" s="17" t="s">
        <v>374</v>
      </c>
      <c r="D14" s="17" t="s">
        <v>68</v>
      </c>
      <c r="E14" s="17" t="n">
        <v>3</v>
      </c>
      <c r="F14" s="21" t="s">
        <v>375</v>
      </c>
      <c r="G14" s="19" t="s">
        <v>376</v>
      </c>
    </row>
    <row r="15" customFormat="false" ht="29.85" hidden="false" customHeight="false" outlineLevel="0" collapsed="false">
      <c r="A15" s="17" t="s">
        <v>377</v>
      </c>
      <c r="B15" s="17" t="s">
        <v>378</v>
      </c>
      <c r="C15" s="17" t="s">
        <v>379</v>
      </c>
      <c r="D15" s="17" t="s">
        <v>68</v>
      </c>
      <c r="E15" s="17" t="n">
        <v>3</v>
      </c>
      <c r="F15" s="19" t="s">
        <v>380</v>
      </c>
      <c r="G15" s="19" t="s">
        <v>381</v>
      </c>
    </row>
    <row r="16" customFormat="false" ht="15" hidden="false" customHeight="false" outlineLevel="0" collapsed="false">
      <c r="A16" s="17" t="s">
        <v>382</v>
      </c>
      <c r="B16" s="17" t="s">
        <v>378</v>
      </c>
      <c r="C16" s="17" t="s">
        <v>383</v>
      </c>
      <c r="D16" s="17" t="s">
        <v>72</v>
      </c>
      <c r="E16" s="17" t="n">
        <v>3</v>
      </c>
      <c r="F16" s="19" t="s">
        <v>384</v>
      </c>
      <c r="G16" s="19" t="s">
        <v>385</v>
      </c>
    </row>
    <row r="17" customFormat="false" ht="29.85" hidden="false" customHeight="false" outlineLevel="0" collapsed="false">
      <c r="A17" s="17" t="s">
        <v>386</v>
      </c>
      <c r="B17" s="17" t="s">
        <v>378</v>
      </c>
      <c r="C17" s="17" t="s">
        <v>387</v>
      </c>
      <c r="D17" s="17" t="s">
        <v>72</v>
      </c>
      <c r="E17" s="17" t="n">
        <v>3</v>
      </c>
      <c r="F17" s="19" t="s">
        <v>388</v>
      </c>
      <c r="G17" s="19" t="s">
        <v>389</v>
      </c>
    </row>
    <row r="18" customFormat="false" ht="15" hidden="false" customHeight="false" outlineLevel="0" collapsed="false">
      <c r="A18" s="17" t="s">
        <v>390</v>
      </c>
      <c r="B18" s="17" t="s">
        <v>378</v>
      </c>
      <c r="C18" s="17" t="s">
        <v>391</v>
      </c>
      <c r="D18" s="17" t="s">
        <v>81</v>
      </c>
      <c r="E18" s="17" t="n">
        <v>3</v>
      </c>
      <c r="F18" s="19" t="s">
        <v>392</v>
      </c>
      <c r="G18" s="19" t="s">
        <v>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56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4" t="s">
        <v>394</v>
      </c>
    </row>
    <row r="2" customFormat="false" ht="15" hidden="false" customHeight="false" outlineLevel="0" collapsed="false">
      <c r="A2" s="16" t="s">
        <v>60</v>
      </c>
      <c r="B2" s="16" t="s">
        <v>61</v>
      </c>
      <c r="C2" s="15" t="s">
        <v>395</v>
      </c>
      <c r="D2" s="16" t="s">
        <v>396</v>
      </c>
      <c r="E2" s="16" t="s">
        <v>397</v>
      </c>
    </row>
    <row r="3" customFormat="false" ht="15" hidden="false" customHeight="false" outlineLevel="0" collapsed="false">
      <c r="A3" s="17" t="s">
        <v>65</v>
      </c>
      <c r="B3" s="17" t="s">
        <v>95</v>
      </c>
      <c r="C3" s="22" t="s">
        <v>398</v>
      </c>
      <c r="D3" s="19" t="s">
        <v>399</v>
      </c>
      <c r="E3" s="21" t="s">
        <v>400</v>
      </c>
    </row>
    <row r="4" customFormat="false" ht="15" hidden="false" customHeight="false" outlineLevel="0" collapsed="false">
      <c r="A4" s="17" t="s">
        <v>65</v>
      </c>
      <c r="B4" s="17" t="s">
        <v>108</v>
      </c>
      <c r="C4" s="22" t="s">
        <v>398</v>
      </c>
      <c r="D4" s="19" t="s">
        <v>401</v>
      </c>
      <c r="E4" s="19" t="s">
        <v>402</v>
      </c>
    </row>
    <row r="5" customFormat="false" ht="15" hidden="false" customHeight="false" outlineLevel="0" collapsed="false">
      <c r="A5" s="17" t="s">
        <v>148</v>
      </c>
      <c r="B5" s="17" t="s">
        <v>149</v>
      </c>
      <c r="C5" s="22" t="s">
        <v>398</v>
      </c>
      <c r="D5" s="21" t="s">
        <v>403</v>
      </c>
      <c r="E5" s="19" t="s">
        <v>404</v>
      </c>
    </row>
    <row r="6" customFormat="false" ht="15" hidden="false" customHeight="false" outlineLevel="0" collapsed="false">
      <c r="A6" s="17" t="s">
        <v>148</v>
      </c>
      <c r="B6" s="17" t="s">
        <v>192</v>
      </c>
      <c r="C6" s="22" t="s">
        <v>398</v>
      </c>
      <c r="D6" s="19" t="s">
        <v>405</v>
      </c>
      <c r="E6" s="19" t="s">
        <v>406</v>
      </c>
    </row>
    <row r="7" customFormat="false" ht="15" hidden="false" customHeight="false" outlineLevel="0" collapsed="false">
      <c r="A7" s="17" t="s">
        <v>148</v>
      </c>
      <c r="B7" s="17" t="s">
        <v>212</v>
      </c>
      <c r="C7" s="22" t="s">
        <v>398</v>
      </c>
      <c r="D7" s="19" t="s">
        <v>407</v>
      </c>
      <c r="E7" s="19" t="s">
        <v>408</v>
      </c>
    </row>
    <row r="8" customFormat="false" ht="15" hidden="false" customHeight="false" outlineLevel="0" collapsed="false">
      <c r="A8" s="17" t="s">
        <v>65</v>
      </c>
      <c r="B8" s="17" t="s">
        <v>409</v>
      </c>
      <c r="C8" s="17" t="s">
        <v>410</v>
      </c>
      <c r="D8" s="19" t="s">
        <v>411</v>
      </c>
      <c r="E8" s="19" t="s">
        <v>412</v>
      </c>
    </row>
    <row r="9" customFormat="false" ht="29.85" hidden="false" customHeight="false" outlineLevel="0" collapsed="false">
      <c r="A9" s="23" t="s">
        <v>413</v>
      </c>
      <c r="B9" s="17" t="s">
        <v>414</v>
      </c>
      <c r="C9" s="17" t="s">
        <v>415</v>
      </c>
      <c r="D9" s="21" t="s">
        <v>416</v>
      </c>
      <c r="E9" s="21" t="s">
        <v>417</v>
      </c>
    </row>
    <row r="10" customFormat="false" ht="29.85" hidden="false" customHeight="false" outlineLevel="0" collapsed="false">
      <c r="A10" s="23" t="s">
        <v>413</v>
      </c>
      <c r="B10" s="17" t="s">
        <v>414</v>
      </c>
      <c r="C10" s="17" t="s">
        <v>418</v>
      </c>
      <c r="D10" s="21" t="s">
        <v>419</v>
      </c>
      <c r="E10" s="19" t="s">
        <v>420</v>
      </c>
    </row>
    <row r="11" customFormat="false" ht="15" hidden="false" customHeight="false" outlineLevel="0" collapsed="false">
      <c r="A11" s="17" t="s">
        <v>421</v>
      </c>
      <c r="B11" s="17" t="s">
        <v>414</v>
      </c>
      <c r="C11" s="17" t="s">
        <v>422</v>
      </c>
      <c r="D11" s="19" t="s">
        <v>423</v>
      </c>
      <c r="E11" s="19" t="s">
        <v>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6"/>
  </cols>
  <sheetData>
    <row r="1" customFormat="false" ht="20.1" hidden="false" customHeight="false" outlineLevel="0" collapsed="false">
      <c r="A1" s="3" t="s">
        <v>425</v>
      </c>
    </row>
    <row r="3" customFormat="false" ht="15" hidden="false" customHeight="false" outlineLevel="0" collapsed="false">
      <c r="A3" s="15" t="s">
        <v>215</v>
      </c>
      <c r="B3" s="15" t="s">
        <v>426</v>
      </c>
      <c r="C3" s="15" t="s">
        <v>427</v>
      </c>
      <c r="D3" s="15" t="s">
        <v>428</v>
      </c>
      <c r="E3" s="16" t="s">
        <v>429</v>
      </c>
    </row>
    <row r="4" customFormat="false" ht="15" hidden="false" customHeight="false" outlineLevel="0" collapsed="false">
      <c r="A4" s="24" t="s">
        <v>67</v>
      </c>
      <c r="B4" s="25" t="n">
        <f aca="false">COUNTIF(Comparison!D:D,A4)</f>
        <v>3</v>
      </c>
      <c r="C4" s="25" t="n">
        <f aca="false">COUNTIF(Comparison!E:E,A4)</f>
        <v>1</v>
      </c>
      <c r="D4" s="25" t="n">
        <f aca="false">COUNTIF('AI New Findings'!D:D,A4)</f>
        <v>0</v>
      </c>
      <c r="E4" s="25" t="n">
        <f aca="false">COUNTIF('Uncovered Sessions'!D:D,A4)</f>
        <v>0</v>
      </c>
    </row>
    <row r="5" customFormat="false" ht="15" hidden="false" customHeight="false" outlineLevel="0" collapsed="false">
      <c r="A5" s="24" t="s">
        <v>68</v>
      </c>
      <c r="B5" s="25" t="n">
        <f aca="false">COUNTIF(Comparison!D:D,A5)</f>
        <v>14</v>
      </c>
      <c r="C5" s="25" t="n">
        <f aca="false">COUNTIF(Comparison!E:E,A5)</f>
        <v>18</v>
      </c>
      <c r="D5" s="25" t="n">
        <f aca="false">COUNTIF('AI New Findings'!D:D,A5)</f>
        <v>10</v>
      </c>
      <c r="E5" s="25" t="n">
        <f aca="false">COUNTIF('Uncovered Sessions'!D:D,A5)</f>
        <v>5</v>
      </c>
    </row>
    <row r="6" customFormat="false" ht="15" hidden="false" customHeight="false" outlineLevel="0" collapsed="false">
      <c r="A6" s="24" t="s">
        <v>81</v>
      </c>
      <c r="B6" s="25" t="n">
        <f aca="false">COUNTIF(Comparison!D:D,A6)</f>
        <v>10</v>
      </c>
      <c r="C6" s="25" t="n">
        <f aca="false">COUNTIF(Comparison!E:E,A6)</f>
        <v>4</v>
      </c>
      <c r="D6" s="25" t="n">
        <f aca="false">COUNTIF('AI New Findings'!D:D,A6)</f>
        <v>4</v>
      </c>
      <c r="E6" s="25" t="n">
        <f aca="false">COUNTIF('Uncovered Sessions'!D:D,A6)</f>
        <v>3</v>
      </c>
    </row>
    <row r="7" customFormat="false" ht="15" hidden="false" customHeight="false" outlineLevel="0" collapsed="false">
      <c r="A7" s="24" t="s">
        <v>72</v>
      </c>
      <c r="B7" s="25" t="n">
        <f aca="false">COUNTIF(Comparison!D:D,A7)</f>
        <v>20</v>
      </c>
      <c r="C7" s="25" t="n">
        <f aca="false">COUNTIF(Comparison!E:E,A7)</f>
        <v>19</v>
      </c>
      <c r="D7" s="25" t="n">
        <f aca="false">COUNTIF('AI New Findings'!D:D,A7)</f>
        <v>3</v>
      </c>
      <c r="E7" s="25" t="n">
        <f aca="false">COUNTIF('Uncovered Sessions'!D:D,A7)</f>
        <v>6</v>
      </c>
    </row>
    <row r="8" customFormat="false" ht="15" hidden="false" customHeight="false" outlineLevel="0" collapsed="false">
      <c r="A8" s="24" t="s">
        <v>96</v>
      </c>
      <c r="B8" s="25" t="n">
        <f aca="false">COUNTIF(Comparison!D:D,A8)</f>
        <v>11</v>
      </c>
      <c r="C8" s="25" t="n">
        <f aca="false">COUNTIF(Comparison!E:E,A8)</f>
        <v>5</v>
      </c>
      <c r="D8" s="25" t="n">
        <f aca="false">COUNTIF('AI New Findings'!D:D,A8)</f>
        <v>1</v>
      </c>
      <c r="E8" s="25" t="n">
        <f aca="false">COUNTIF('Uncovered Sessions'!D:D,A8)</f>
        <v>0</v>
      </c>
    </row>
    <row r="9" customFormat="false" ht="15" hidden="false" customHeight="false" outlineLevel="0" collapsed="false">
      <c r="A9" s="24" t="s">
        <v>73</v>
      </c>
      <c r="B9" s="25" t="n">
        <f aca="false">COUNTIF(Comparison!D:D,A9)</f>
        <v>2</v>
      </c>
      <c r="C9" s="25" t="n">
        <f aca="false">COUNTIF(Comparison!E:E,A9)</f>
        <v>5</v>
      </c>
      <c r="D9" s="25" t="n">
        <f aca="false">COUNTIF('AI New Findings'!D:D,A9)</f>
        <v>5</v>
      </c>
      <c r="E9" s="25" t="n">
        <f aca="false">COUNTIF('Uncovered Sessions'!D:D,A9)</f>
        <v>2</v>
      </c>
    </row>
    <row r="10" customFormat="false" ht="15" hidden="false" customHeight="false" outlineLevel="0" collapsed="false">
      <c r="A10" s="24" t="s">
        <v>88</v>
      </c>
      <c r="B10" s="25" t="n">
        <f aca="false">COUNTIF(Comparison!D:D,A10)</f>
        <v>8</v>
      </c>
      <c r="C10" s="25" t="n">
        <f aca="false">COUNTIF(Comparison!E:E,A10)</f>
        <v>8</v>
      </c>
      <c r="D10" s="25" t="n">
        <f aca="false">COUNTIF('AI New Findings'!D:D,A10)</f>
        <v>3</v>
      </c>
      <c r="E10" s="25" t="n">
        <f aca="false">COUNTIF('Uncovered Sessions'!D:D,A10)</f>
        <v>0</v>
      </c>
    </row>
    <row r="11" customFormat="false" ht="15" hidden="false" customHeight="false" outlineLevel="0" collapsed="false">
      <c r="A11" s="24" t="s">
        <v>91</v>
      </c>
      <c r="B11" s="25" t="n">
        <f aca="false">COUNTIF(Comparison!D:D,A11)</f>
        <v>0</v>
      </c>
      <c r="C11" s="25" t="n">
        <f aca="false">COUNTIF(Comparison!E:E,A11)</f>
        <v>3</v>
      </c>
      <c r="D11" s="25" t="n">
        <f aca="false">COUNTIF('AI New Findings'!D:D,A11)</f>
        <v>1</v>
      </c>
      <c r="E11" s="25" t="n">
        <f aca="false">COUNTIF('Uncovered Sessions'!D:D,A11)</f>
        <v>0</v>
      </c>
    </row>
    <row r="12" customFormat="false" ht="15" hidden="false" customHeight="false" outlineLevel="0" collapsed="false">
      <c r="A12" s="9" t="s">
        <v>97</v>
      </c>
      <c r="C12" s="12" t="n">
        <f aca="false">COUNTIF(Comparison!E:E,"NO_SIGNAL")</f>
        <v>5</v>
      </c>
    </row>
    <row r="14" customFormat="false" ht="29.85" hidden="false" customHeight="true" outlineLevel="0" collapsed="false">
      <c r="A14" s="4" t="s">
        <v>430</v>
      </c>
      <c r="B14" s="14" t="s">
        <v>431</v>
      </c>
      <c r="C14" s="14"/>
      <c r="D14" s="14"/>
      <c r="E14" s="14"/>
    </row>
  </sheetData>
  <mergeCells count="1">
    <mergeCell ref="B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2026-08-31T00:57:49Z</dcterms:created>
  <dc:creator>openpyxl</dc:creator>
  <dc:description/>
  <dc:language>en-US</dc:language>
  <cp:lastModifiedBy/>
  <dcterms:modified xsi:type="dcterms:W3CDTF">2026-08-31T00:57:49Z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